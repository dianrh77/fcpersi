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I\APLIKASI CASHFLOW PERSI JATENG\"/>
    </mc:Choice>
  </mc:AlternateContent>
  <xr:revisionPtr revIDLastSave="0" documentId="13_ncr:1_{DED6E9E6-B409-4DDA-A259-708D4CDE6979}" xr6:coauthVersionLast="47" xr6:coauthVersionMax="47" xr10:uidLastSave="{00000000-0000-0000-0000-000000000000}"/>
  <bookViews>
    <workbookView xWindow="-110" yWindow="-110" windowWidth="19420" windowHeight="11020" activeTab="1" xr2:uid="{8B922D55-400A-4667-A6C8-99270B4E30E1}"/>
  </bookViews>
  <sheets>
    <sheet name="ALUR" sheetId="6" r:id="rId1"/>
    <sheet name="MENU" sheetId="4" r:id="rId2"/>
    <sheet name="Sheet7" sheetId="7" state="hidden" r:id="rId3"/>
    <sheet name="COA" sheetId="1" r:id="rId4"/>
    <sheet name="ANGGOTA" sheetId="2" r:id="rId5"/>
    <sheet name="KLS RS" sheetId="3" r:id="rId6"/>
    <sheet name="Sheet8" sheetId="8" state="hidden" r:id="rId7"/>
  </sheets>
  <definedNames>
    <definedName name="_xlnm._FilterDatabase" localSheetId="4" hidden="1">ANGGOTA!$A$1:$D$347</definedName>
    <definedName name="_xlnm._FilterDatabase" localSheetId="5" hidden="1">'KLS RS'!$A$1:$B$12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7" l="1"/>
</calcChain>
</file>

<file path=xl/sharedStrings.xml><?xml version="1.0" encoding="utf-8"?>
<sst xmlns="http://schemas.openxmlformats.org/spreadsheetml/2006/main" count="822" uniqueCount="788">
  <si>
    <t>PENERIMAAN</t>
  </si>
  <si>
    <t>PENERIMAAN RUTIN</t>
  </si>
  <si>
    <t>PENERIMAAN PROGRAM</t>
  </si>
  <si>
    <t>PENERIMAAN LAIN</t>
  </si>
  <si>
    <t xml:space="preserve">Pendaftaran anggota baru </t>
  </si>
  <si>
    <t xml:space="preserve">Iuran  anggota </t>
  </si>
  <si>
    <t>Iuran anggota (Tunggakan )</t>
  </si>
  <si>
    <t>SHU Seminar dan Expo PERSI Daerah Jawa Tengah</t>
  </si>
  <si>
    <t xml:space="preserve">SHU Workhsop </t>
  </si>
  <si>
    <t xml:space="preserve">SHU Seminar/Webinar </t>
  </si>
  <si>
    <t xml:space="preserve">Penerimaan bunga bank </t>
  </si>
  <si>
    <t xml:space="preserve">Penerimaan bunga  deposito </t>
  </si>
  <si>
    <t>Cashback Seminar Nasional PERSI Pusat</t>
  </si>
  <si>
    <t xml:space="preserve">Penerimaan Lain </t>
  </si>
  <si>
    <t>PENGELUARAN</t>
  </si>
  <si>
    <t>V</t>
  </si>
  <si>
    <t>PENGELUARAN RUTIN</t>
  </si>
  <si>
    <t>PENGELUARAN PROGRAM PENDAMPINGAN RS</t>
  </si>
  <si>
    <t xml:space="preserve">PENGELUARAN RAPAT </t>
  </si>
  <si>
    <t xml:space="preserve">PENGELUARAN PROGRAM DIKLAT </t>
  </si>
  <si>
    <t xml:space="preserve">PENGELUARAN LAIN </t>
  </si>
  <si>
    <t>Biaya operasional kantor (ATK, administrasi, kebersihan )</t>
  </si>
  <si>
    <t xml:space="preserve">Biaya gaji pegawai </t>
  </si>
  <si>
    <t>Biaya listrik, air, Ipal, zoom dan internet</t>
  </si>
  <si>
    <t>Biaya sewa kantor dan perbaikan interior</t>
  </si>
  <si>
    <t xml:space="preserve">Iuran PERSI Pusat </t>
  </si>
  <si>
    <t xml:space="preserve">Penugasan menghadiri undangan stake holder PERSI </t>
  </si>
  <si>
    <t xml:space="preserve">Penugasan kredensialing dan pendampingan BPJS </t>
  </si>
  <si>
    <t>Penugasan pendampingan RS dengan Dinas Kesehatan (kenaikan kelas dll)</t>
  </si>
  <si>
    <t>Penugasan pendampingan RS (kasus RS)</t>
  </si>
  <si>
    <t xml:space="preserve">Rapat PERSI Daerah dan Komisariat </t>
  </si>
  <si>
    <t>Rapat PERSI Pusat dan HOSPEX PERSI Pusat</t>
  </si>
  <si>
    <t>Pengeluaran Pelantikan Pengurus PERSI &amp; MAKERSI</t>
  </si>
  <si>
    <t>Uang Muka Kegiatan Musywil 2025</t>
  </si>
  <si>
    <t xml:space="preserve">Seminar, Workshop, Webinar Gratis </t>
  </si>
  <si>
    <t xml:space="preserve">Biaya Sosial </t>
  </si>
  <si>
    <t xml:space="preserve">Pajak rekening dan deposito </t>
  </si>
  <si>
    <t xml:space="preserve">CHART OF ACCOUNT </t>
  </si>
  <si>
    <t>NOTE</t>
  </si>
  <si>
    <t>COA dapat di manage (create, Update, non aktif) oleh admin via fitur setting COA</t>
  </si>
  <si>
    <t xml:space="preserve">RSUP dr. Kariadi </t>
  </si>
  <si>
    <t xml:space="preserve">RSIA Anugerah </t>
  </si>
  <si>
    <t xml:space="preserve">RSIA Bunda </t>
  </si>
  <si>
    <t xml:space="preserve">RSUD dr. Adhyatma, MPH  </t>
  </si>
  <si>
    <t xml:space="preserve">RSIA Gunung Sawo </t>
  </si>
  <si>
    <t>RS Panti Wilasa Citarum</t>
  </si>
  <si>
    <t>RS Panti Wilasa Dr.Cipto</t>
  </si>
  <si>
    <t>RS Banyumanik</t>
  </si>
  <si>
    <t>RS Roemani Muh. Semarang</t>
  </si>
  <si>
    <t>RST Bhakti Wira Tamtama</t>
  </si>
  <si>
    <t>RSI Sultan Agung Semarang</t>
  </si>
  <si>
    <t>RS ST Elisabeth Semarang</t>
  </si>
  <si>
    <t>RSJD dr. Amino Gondohutomo</t>
  </si>
  <si>
    <t>RS Telogorejo</t>
  </si>
  <si>
    <t>RSU William Booth</t>
  </si>
  <si>
    <t>RSIA Kusuma Pradja</t>
  </si>
  <si>
    <t>RS Hermina Pandanaran</t>
  </si>
  <si>
    <t>RSIA Plamongan Indah</t>
  </si>
  <si>
    <t xml:space="preserve">RSD KRMT Wongsonegoro </t>
  </si>
  <si>
    <t>RS Permata Medika Semarang</t>
  </si>
  <si>
    <t xml:space="preserve">RS Bhayangkara AKPOL </t>
  </si>
  <si>
    <t>RS Bhayangkara Semarang</t>
  </si>
  <si>
    <t>RS Khusus Bedah Columbia Asia Semarang</t>
  </si>
  <si>
    <t>RS Hermina Banyumanik</t>
  </si>
  <si>
    <t>RS Nasional Diponegoro</t>
  </si>
  <si>
    <t>RSIA Siloam Hospitals Semarang</t>
  </si>
  <si>
    <t>RSIGM Sultan Agung Semarang</t>
  </si>
  <si>
    <t>RSU Banyumanik 2</t>
  </si>
  <si>
    <t>RS Primaya Semarang</t>
  </si>
  <si>
    <t>RS Mata JEC Candi @ Semarang</t>
  </si>
  <si>
    <t>RS Keluarga Sehat III Semarang</t>
  </si>
  <si>
    <t>RS Cepoko</t>
  </si>
  <si>
    <t>RS Samsoe Hidajat</t>
  </si>
  <si>
    <t>RSGM Universitas  Muhammadiyah Semarang</t>
  </si>
  <si>
    <t>RSIA Ananda Pasar Ace</t>
  </si>
  <si>
    <t>RS UNIMUS</t>
  </si>
  <si>
    <t>RS Pelita Anugerah</t>
  </si>
  <si>
    <t>RSI NU Demak</t>
  </si>
  <si>
    <t>RSUD Sunan Kalijaga Demak</t>
  </si>
  <si>
    <t>RSUD Sultan Fatah Demak</t>
  </si>
  <si>
    <t>RS Hj. Fatimah Sulhan PKU Muh. Demak</t>
  </si>
  <si>
    <t>RS Charlie Hospital Demak</t>
  </si>
  <si>
    <t>RSUD dr. Gondo Suwarno</t>
  </si>
  <si>
    <t xml:space="preserve">RSUD dr. Gunawan Mangun Kusumo </t>
  </si>
  <si>
    <t>RS Bina Kasih</t>
  </si>
  <si>
    <t>RS Ken Saras</t>
  </si>
  <si>
    <t>RSU Kusuma Ungaran</t>
  </si>
  <si>
    <t>RS At-Tin Hospital</t>
  </si>
  <si>
    <t xml:space="preserve">RS Paru dr. Ario Wirawan </t>
  </si>
  <si>
    <t>RSUD Salatiga</t>
  </si>
  <si>
    <t>RSU Puri Asih</t>
  </si>
  <si>
    <t>RST dr. Asmir</t>
  </si>
  <si>
    <t>RSIA Hermina Mutiara Bunda</t>
  </si>
  <si>
    <t>RSI Tunas Harapan Salatiga</t>
  </si>
  <si>
    <t>RSUD dr. H. Soewondo</t>
  </si>
  <si>
    <t>RS Muhammadiyah Darul Istiqomah</t>
  </si>
  <si>
    <t>RS Islam Kendal</t>
  </si>
  <si>
    <t>RS Baitul Hikmah</t>
  </si>
  <si>
    <t>RS PKU 'Aisyiyah Kendal</t>
  </si>
  <si>
    <t>RS Charlie Hospital</t>
  </si>
  <si>
    <t>RS PKU Muh. Boja</t>
  </si>
  <si>
    <t>RSUD dr. R. Soedjati Soemodiardjo</t>
  </si>
  <si>
    <t>RS Panti Rahayu</t>
  </si>
  <si>
    <t>RS PKU Muh Gubug</t>
  </si>
  <si>
    <t>RS Permata Bunda</t>
  </si>
  <si>
    <t>RSU Habibullah</t>
  </si>
  <si>
    <t>RSI Purwodadi</t>
  </si>
  <si>
    <t>RS Ortopedi Siaga Utama</t>
  </si>
  <si>
    <t xml:space="preserve">RS Sekar Laras </t>
  </si>
  <si>
    <t>RS Marganingsih</t>
  </si>
  <si>
    <t>RSU Trimedika Ketapang</t>
  </si>
  <si>
    <t>RSUD Ki Ageng Selo Wirosari</t>
  </si>
  <si>
    <t>RSUD Ki Ageng Getas Pendowo Gubug</t>
  </si>
  <si>
    <t>RS Permata Utama</t>
  </si>
  <si>
    <t>RSI Sunan Kudus</t>
  </si>
  <si>
    <t>RSUD dr. Loekmono Hadi Kudus</t>
  </si>
  <si>
    <t>RSIA Permata Hati Kudus</t>
  </si>
  <si>
    <t>RS Mardi Rahayu</t>
  </si>
  <si>
    <t>RSU Nurussyifa Kudus</t>
  </si>
  <si>
    <t>RS 'Aisyiyah Kudus</t>
  </si>
  <si>
    <t xml:space="preserve">RSIA Harapan Bunda </t>
  </si>
  <si>
    <t>RSU Kumala Siwi Mijen</t>
  </si>
  <si>
    <t>RS Sarkies 'Aisyiyah Kudus</t>
  </si>
  <si>
    <t>RSIA Miriam Kudus</t>
  </si>
  <si>
    <t>RSUD RA Kartini</t>
  </si>
  <si>
    <t>RSI Sultan Hadlirin</t>
  </si>
  <si>
    <t>RS Graha Husada</t>
  </si>
  <si>
    <t>RSUD dr. Rehatta</t>
  </si>
  <si>
    <t>RS PKU Muh Mayong Jepara</t>
  </si>
  <si>
    <t>RS PKU Aisyiyah Jepara</t>
  </si>
  <si>
    <t>RSUD RAA Soewondo</t>
  </si>
  <si>
    <t>RS Mitra Bangsa Pati</t>
  </si>
  <si>
    <t>RS Keluarga Sehat</t>
  </si>
  <si>
    <t>RSI Pati</t>
  </si>
  <si>
    <t>RSU Fastabiq Sehat PKU Muh Pati</t>
  </si>
  <si>
    <t>RSU Sebening Kasih</t>
  </si>
  <si>
    <t>RSU Budi Agung</t>
  </si>
  <si>
    <t>RS Keluarga Sehat Tayu</t>
  </si>
  <si>
    <t>RSU As-Suyuthiyyah</t>
  </si>
  <si>
    <t>RSUD Kayen Pati</t>
  </si>
  <si>
    <t>RSUD dr. R. Soetrasno</t>
  </si>
  <si>
    <t>RS Islam Arafah</t>
  </si>
  <si>
    <t>RS Bhina Bhakti Husada</t>
  </si>
  <si>
    <t>RS PKU Muhammadiyah Pamotan</t>
  </si>
  <si>
    <t>RSUD dr. R. Soeprapto Cepu</t>
  </si>
  <si>
    <t>RS PKU Muhammadiyah Cepu</t>
  </si>
  <si>
    <t>RSUD dr. R. Soetijono Blora</t>
  </si>
  <si>
    <t>RSU Permata Blora</t>
  </si>
  <si>
    <t>RS PKU Muhammadiyah Blora</t>
  </si>
  <si>
    <t>RSIA Annisa Blora</t>
  </si>
  <si>
    <t>RSUD Samin Surosentiko Randublatung</t>
  </si>
  <si>
    <t>RSUD Batang</t>
  </si>
  <si>
    <t>RS Qolbu Insan Mulia (QIM)</t>
  </si>
  <si>
    <t>RSUD Limpung</t>
  </si>
  <si>
    <t>RSUD Kraton Pekalongan</t>
  </si>
  <si>
    <t>RSI PKU Muh. Pekajangan</t>
  </si>
  <si>
    <t>RSUD Kajen Pekalongan</t>
  </si>
  <si>
    <t>RSIA Aisyiyah Pekajangan</t>
  </si>
  <si>
    <t>RS Prima Sehat Pekalongan</t>
  </si>
  <si>
    <t>RS Ki Ageng Sedayu</t>
  </si>
  <si>
    <t>RSU Budi Rahayu Pekalongan</t>
  </si>
  <si>
    <t>RS Siti Khodijah</t>
  </si>
  <si>
    <t>RS Karomah Holistic</t>
  </si>
  <si>
    <t>RSU Anugerah</t>
  </si>
  <si>
    <t>RSU Aro</t>
  </si>
  <si>
    <t>RSUD Bendan Kota Pekalongan</t>
  </si>
  <si>
    <t>RS. H.A. Zaki Djunaid Pekalongan</t>
  </si>
  <si>
    <t>RS Hermina Pekalongan</t>
  </si>
  <si>
    <t>RSU Santa Maria Pemalang</t>
  </si>
  <si>
    <t>RSUD dr. M. Ashari</t>
  </si>
  <si>
    <t>RS Muh. Rodliyah Achid Moga</t>
  </si>
  <si>
    <t>RSU Siaga Medika Pemalang</t>
  </si>
  <si>
    <t>RS Prima Medika</t>
  </si>
  <si>
    <t>RSI Al Ikhlas</t>
  </si>
  <si>
    <t>RS Muhammadiyah Mardhatillah</t>
  </si>
  <si>
    <t>RS Harapan Sehat Pemalang</t>
  </si>
  <si>
    <t>RSU Comal Baru</t>
  </si>
  <si>
    <t>RSUD Kardinah</t>
  </si>
  <si>
    <t>RSU Islam Harapan Anda</t>
  </si>
  <si>
    <t>RSIA Kasih Ibu Tegal</t>
  </si>
  <si>
    <t>RS Mitra Keluarga Tegal</t>
  </si>
  <si>
    <t>RS Mitra Siaga Tegal</t>
  </si>
  <si>
    <t>RS PKU Muhammadiyah Tegal</t>
  </si>
  <si>
    <t>RSUD dr. Soeselo Slawi</t>
  </si>
  <si>
    <t>RSIA Pala Raya Tegal</t>
  </si>
  <si>
    <t>RSU Adella</t>
  </si>
  <si>
    <t>RSUD Suradadi</t>
  </si>
  <si>
    <t>RS Hawari Essa</t>
  </si>
  <si>
    <t>RS Harapan Sehat Slawi</t>
  </si>
  <si>
    <t>RS Mitra Keluarga Slawi</t>
  </si>
  <si>
    <t>RS Tk IV 04.07.01 Tegal</t>
  </si>
  <si>
    <t>RS Mitra Siaga Tarub</t>
  </si>
  <si>
    <t>RSUD Brebes</t>
  </si>
  <si>
    <t>RS Bhakti Asih Brebes</t>
  </si>
  <si>
    <t>RS Dedy Jaya</t>
  </si>
  <si>
    <t>RSU Islami Mutiara Bunda</t>
  </si>
  <si>
    <t>RSU Siti Asiyah Bumiayu</t>
  </si>
  <si>
    <t>RS Muh. Siti Aminah Bumiayu</t>
  </si>
  <si>
    <t>RS Dera As-Syifa</t>
  </si>
  <si>
    <t>RS Amanah Mahmudah</t>
  </si>
  <si>
    <t>RS Allam Medica</t>
  </si>
  <si>
    <t>RSIA Permata Insani</t>
  </si>
  <si>
    <t>RS Bhakti Asih Jatibarang</t>
  </si>
  <si>
    <t>RS Harapan Sehat Jatibarang</t>
  </si>
  <si>
    <t>RS Harapan Sehat Bumiayu</t>
  </si>
  <si>
    <t>RSUD Bumiayu</t>
  </si>
  <si>
    <t>RSUD Ir. Soekarno Kabupaten Brebes</t>
  </si>
  <si>
    <t>RSIA Nuzula</t>
  </si>
  <si>
    <t>RSI Purwokerto</t>
  </si>
  <si>
    <t>RSUD Prof. dr. Margono Soekarjo</t>
  </si>
  <si>
    <t>RS TK III 04.06.01 Wijayakusuma</t>
  </si>
  <si>
    <t>RS ST Elisabeth Purwokerto</t>
  </si>
  <si>
    <t>RSU Hidayah</t>
  </si>
  <si>
    <t>RSU Sinar Kasih</t>
  </si>
  <si>
    <t>RSIA Budhi Asih</t>
  </si>
  <si>
    <t>RSIA Bunda Arif</t>
  </si>
  <si>
    <t>RS Orthopaedi Purwokerto</t>
  </si>
  <si>
    <t>RSKB "Jatiwinangun"</t>
  </si>
  <si>
    <t>RS Ananda Purwokerto</t>
  </si>
  <si>
    <t>RSU Bunda Purwokerto</t>
  </si>
  <si>
    <t>RS Gigi &amp; Mulut UNSOED Purwokerto</t>
  </si>
  <si>
    <t>RS Dadi Keluarga Purwokerto</t>
  </si>
  <si>
    <t>RS Hermina Purwokerto</t>
  </si>
  <si>
    <t>RSUD Banyumas</t>
  </si>
  <si>
    <t>RSKB Mitra Ariva</t>
  </si>
  <si>
    <t>RSU An Ni'mah Wangon</t>
  </si>
  <si>
    <t>RSU Wiradadi Husada</t>
  </si>
  <si>
    <t>RS PKU Muh Sumpiuh</t>
  </si>
  <si>
    <t>RS Siaga Medika Banyumas</t>
  </si>
  <si>
    <t>RSU Medika Lestari</t>
  </si>
  <si>
    <t>RS "JIH" Purwokerto</t>
  </si>
  <si>
    <t>RSUD Ajibarang</t>
  </si>
  <si>
    <t>RS Khusus Mata Purwokerto</t>
  </si>
  <si>
    <t>RSUD Cilacap</t>
  </si>
  <si>
    <t>RS Pertamina</t>
  </si>
  <si>
    <t>RSU Aprillia Cilacap</t>
  </si>
  <si>
    <t>RS Islam Fatimah</t>
  </si>
  <si>
    <t>RSU Santa Maria Cilacap</t>
  </si>
  <si>
    <t>RSUD Majenang</t>
  </si>
  <si>
    <t>RSU Duta Mulya Majenang</t>
  </si>
  <si>
    <t>RSU Afdila Cilacap</t>
  </si>
  <si>
    <t>RSIA Annisa Cilacap</t>
  </si>
  <si>
    <t>RSU Aghisna Medika Kroya</t>
  </si>
  <si>
    <t>RSU Priscilla Medical Center</t>
  </si>
  <si>
    <t>RSU Raffa Majenang</t>
  </si>
  <si>
    <t>RSU Aghisna Medika Sidareja</t>
  </si>
  <si>
    <t>RSUD Hj. Anna Lasmanah</t>
  </si>
  <si>
    <t>RS Emanuel</t>
  </si>
  <si>
    <t>RSI Banjarnegara</t>
  </si>
  <si>
    <t>RSU PKU Muhammadiyah Banjarnegara</t>
  </si>
  <si>
    <t xml:space="preserve">RSUD dr. R. Goeteng Taroenadibrata </t>
  </si>
  <si>
    <t>RSIA Ummu Hani</t>
  </si>
  <si>
    <t>RSU Harapan Ibu</t>
  </si>
  <si>
    <t>RSU Nirmala Purbalingga</t>
  </si>
  <si>
    <t>RSUD Panti Nugroho</t>
  </si>
  <si>
    <t>RS Islam At-Tin Husada Purbalingga</t>
  </si>
  <si>
    <t>RSU Siaga Medika Purbalingga</t>
  </si>
  <si>
    <t>RS PKU Muhammadiyah Purbalingga</t>
  </si>
  <si>
    <t>RSIA MPH Purbalingga</t>
  </si>
  <si>
    <t>RSUD dr. Soedirman</t>
  </si>
  <si>
    <t>RS PKU Muh Sruweng</t>
  </si>
  <si>
    <t>RSU Purwogondo</t>
  </si>
  <si>
    <t>RSU Wijaya Kusuma Kebumen</t>
  </si>
  <si>
    <t>RS Palang Biru Gombong</t>
  </si>
  <si>
    <t>RSU PKU Muh Gombong</t>
  </si>
  <si>
    <t>RSU Purbowangi Gombong</t>
  </si>
  <si>
    <t>RS Permata Medika Kebumen</t>
  </si>
  <si>
    <t>RSUD Prembun Kebumen</t>
  </si>
  <si>
    <t>RS PKU Muhammadiyah Kutowinangun</t>
  </si>
  <si>
    <t>RS PKU Muhammadiyah Petanahan</t>
  </si>
  <si>
    <t>RSUD KRT Setjonegoro Wonosobo</t>
  </si>
  <si>
    <t>RSI Wonosobo</t>
  </si>
  <si>
    <t>RSIA Adina</t>
  </si>
  <si>
    <t>RSU PKU Muhammadiyah Wonosobo</t>
  </si>
  <si>
    <t>RS AISs Wonosobo</t>
  </si>
  <si>
    <t>RSU Gunung Sawo Temanggung</t>
  </si>
  <si>
    <t>RS Kristen Ngesti Waluyo</t>
  </si>
  <si>
    <t>RSU PKU Muh Temanggung</t>
  </si>
  <si>
    <t>RSUD dr. Djojonegoro</t>
  </si>
  <si>
    <t>RSUD Muntilan</t>
  </si>
  <si>
    <t>RSU Aisyiyah Muntilan</t>
  </si>
  <si>
    <t>RS N-21 Gemilang Magelang</t>
  </si>
  <si>
    <t>RSU Syubbanul Wathon</t>
  </si>
  <si>
    <t>RSD Merah Putih</t>
  </si>
  <si>
    <t>RSJ Prof. dr. Soerojo</t>
  </si>
  <si>
    <t>RSUD Tidar</t>
  </si>
  <si>
    <t>RST dr. Soedjono</t>
  </si>
  <si>
    <t>RSIA Gladiool</t>
  </si>
  <si>
    <t>RS Lestari Raharja</t>
  </si>
  <si>
    <t>RS Harapan Magelang</t>
  </si>
  <si>
    <t>RSI Magelang</t>
  </si>
  <si>
    <t xml:space="preserve">RSUD Budi Rahayu </t>
  </si>
  <si>
    <t>RSIA Permata</t>
  </si>
  <si>
    <t>RSUD Tjitrowardojo</t>
  </si>
  <si>
    <t>RS Palang Biru Kutoarjo</t>
  </si>
  <si>
    <t>RS Panti Waluyo Purworejo</t>
  </si>
  <si>
    <t>RSU Aisyiyah Purworejo</t>
  </si>
  <si>
    <t>RSU Purwa Husada</t>
  </si>
  <si>
    <t>RSU Ananda Purworejo</t>
  </si>
  <si>
    <t>RSU Budi Sehat</t>
  </si>
  <si>
    <t>RSU Kasih Ibu Purworejo</t>
  </si>
  <si>
    <t>RS Amanah Umat</t>
  </si>
  <si>
    <t>RSU Islam Purworejo</t>
  </si>
  <si>
    <t>RSUD dr. Moewardi</t>
  </si>
  <si>
    <t>RS Brayat Minulya</t>
  </si>
  <si>
    <t>RS dr. Oen Surakarta</t>
  </si>
  <si>
    <t>RSI Kustati</t>
  </si>
  <si>
    <t>RS Panti Waluyo Surakarta</t>
  </si>
  <si>
    <t>RS TK. IV Slamet Riyadi Surakarta</t>
  </si>
  <si>
    <t>RS Kasih Ibu Surakarta</t>
  </si>
  <si>
    <t>RS PKU Muh Surakarta</t>
  </si>
  <si>
    <t>RS Triharsi</t>
  </si>
  <si>
    <t>RSJD dr. Arif Zainudin Surakarta</t>
  </si>
  <si>
    <t>RS Hermina Solo</t>
  </si>
  <si>
    <t>RS Onkologi Solo</t>
  </si>
  <si>
    <t>RSUP Surakarta</t>
  </si>
  <si>
    <t>RS JIH Solo</t>
  </si>
  <si>
    <t>RS PKU Muhammadiyah Sampangan Surakarta</t>
  </si>
  <si>
    <t>RS Mata Solo</t>
  </si>
  <si>
    <t>RSUD Bung Karno</t>
  </si>
  <si>
    <t>RSUD Ibu Fatmawati Soekarno</t>
  </si>
  <si>
    <t xml:space="preserve">RSUD Karanganyar </t>
  </si>
  <si>
    <t>RS PKU Muh Karanganyar</t>
  </si>
  <si>
    <t>RSU Jati Husada Karanganyar</t>
  </si>
  <si>
    <t>RSU Jafar Medika Karanganyar</t>
  </si>
  <si>
    <t>RS Indo Sehat</t>
  </si>
  <si>
    <t>RSIA Dian Pertiwi</t>
  </si>
  <si>
    <t>RSOP Prof. dr. R. Soeharso</t>
  </si>
  <si>
    <t>RSUD Ir. Soekarno Sukoharjo</t>
  </si>
  <si>
    <t xml:space="preserve">RS dr. Oen Solo Baru </t>
  </si>
  <si>
    <t>RS Nirmala Suri</t>
  </si>
  <si>
    <t>RSKB Karima Utama</t>
  </si>
  <si>
    <t>RS Indriati Solo Baru</t>
  </si>
  <si>
    <t>RS PKU Muhammadiyah Sukoharjo</t>
  </si>
  <si>
    <t>RS Islam Yarsis Surakarta</t>
  </si>
  <si>
    <t>RS Universitas Sebelas Maret</t>
  </si>
  <si>
    <t>RSUD Pandan Arang</t>
  </si>
  <si>
    <t>RSU Natalia</t>
  </si>
  <si>
    <t>RS Karanggede Sisma Medika</t>
  </si>
  <si>
    <t>RS Umi Barokah</t>
  </si>
  <si>
    <t>RSUD Waras Wiris</t>
  </si>
  <si>
    <t>RSUD Simo Boyolali</t>
  </si>
  <si>
    <t>RS Asy Syifa' Sambi Boyolali</t>
  </si>
  <si>
    <t>RS PKU 'Aisyiyah Boyolali</t>
  </si>
  <si>
    <t>RS Hidayah Boyolali</t>
  </si>
  <si>
    <t>RS Indriati Boyolali</t>
  </si>
  <si>
    <t>RSU Islam Banyu Bening Boyolali</t>
  </si>
  <si>
    <t>RSU Islam Boyolali</t>
  </si>
  <si>
    <t>RSUP dr. Soeradji Tirtonegoro</t>
  </si>
  <si>
    <t>RSJD dr. RM Soedjarwadi Klaten</t>
  </si>
  <si>
    <t>RS Cakra Husada</t>
  </si>
  <si>
    <t>RSU Islam Klaten</t>
  </si>
  <si>
    <t>RSU Aisyiah Klaten</t>
  </si>
  <si>
    <t>RSU Diponegoro Dua Satu</t>
  </si>
  <si>
    <t>RS PKU Muh. Delanggu</t>
  </si>
  <si>
    <t>RS PKU Muhammadiyah Jatinom</t>
  </si>
  <si>
    <t>RSUD Bagas Waras</t>
  </si>
  <si>
    <t>RS Mitra Keluarga Husada</t>
  </si>
  <si>
    <t>RSU Islam Cawas-Klaten</t>
  </si>
  <si>
    <t>RS PKU Muhammadiyah Pedan</t>
  </si>
  <si>
    <t>RS PKU Muhammadiyah Prambanan</t>
  </si>
  <si>
    <t>RSU Mardi Lestari</t>
  </si>
  <si>
    <t>RSUD dr. Soehadi Prijonegoro Sragen</t>
  </si>
  <si>
    <t>RSI Amal Sehat Sragen</t>
  </si>
  <si>
    <t>RSU Assalam Gemolong</t>
  </si>
  <si>
    <t>RSIA Restu Ibu Sragen</t>
  </si>
  <si>
    <t>RSU Sarila Husada Sragen</t>
  </si>
  <si>
    <t xml:space="preserve">RSU Rizky Amalia </t>
  </si>
  <si>
    <t>RSUD dr. Soeratno Gemolong</t>
  </si>
  <si>
    <t>RSU PKU Muhammadiyah Sragen</t>
  </si>
  <si>
    <t>RSU Islam YAKSSI Gemolong</t>
  </si>
  <si>
    <t>RSU Saras Ibnu Sina Sukowati</t>
  </si>
  <si>
    <t>RSUD Sukowati Tangen Sragen</t>
  </si>
  <si>
    <t>RSU Hastuti Sragen</t>
  </si>
  <si>
    <t>RSUD dr. Soediran Mangun Sumarso</t>
  </si>
  <si>
    <t>RS Muhammadiyah Selogiri Wonogiri</t>
  </si>
  <si>
    <t>RS Hermina Wonogiri</t>
  </si>
  <si>
    <t>RS Amal Sehat Wonogiri</t>
  </si>
  <si>
    <t>RS Fitri Candra</t>
  </si>
  <si>
    <t>RS Astrini Wonogiri</t>
  </si>
  <si>
    <t>RSU Maguan Husada</t>
  </si>
  <si>
    <t>RS Mulia Hati Wonogiri</t>
  </si>
  <si>
    <t>NAMA RS</t>
  </si>
  <si>
    <t>IDPERSI</t>
  </si>
  <si>
    <t>IUR</t>
  </si>
  <si>
    <t>PJTG.01</t>
  </si>
  <si>
    <t>PJTG.02</t>
  </si>
  <si>
    <t>PJTG.03</t>
  </si>
  <si>
    <t>PJTG.04</t>
  </si>
  <si>
    <t>PJTG.05</t>
  </si>
  <si>
    <t>PJTG.06</t>
  </si>
  <si>
    <t>PJTG.07</t>
  </si>
  <si>
    <t>PJTG.08</t>
  </si>
  <si>
    <t>PJTG.09</t>
  </si>
  <si>
    <t>PJTG.10</t>
  </si>
  <si>
    <t>PJTG.11</t>
  </si>
  <si>
    <t>PJTG.12</t>
  </si>
  <si>
    <t>PJTG.13</t>
  </si>
  <si>
    <t>PJTG.14</t>
  </si>
  <si>
    <t>PJTG.15</t>
  </si>
  <si>
    <t>PJTG.16</t>
  </si>
  <si>
    <t>PJTG.17</t>
  </si>
  <si>
    <t>PJTG.18</t>
  </si>
  <si>
    <t>PJTG.19</t>
  </si>
  <si>
    <t>PJTG.20</t>
  </si>
  <si>
    <t>PJTG.21</t>
  </si>
  <si>
    <t>PJTG.22</t>
  </si>
  <si>
    <t>PJTG.23</t>
  </si>
  <si>
    <t>PJTG.24</t>
  </si>
  <si>
    <t>PJTG.25</t>
  </si>
  <si>
    <t>PJTG.26</t>
  </si>
  <si>
    <t>PJTG.27</t>
  </si>
  <si>
    <t>PJTG.28</t>
  </si>
  <si>
    <t>PJTG.29</t>
  </si>
  <si>
    <t>PJTG.30</t>
  </si>
  <si>
    <t>PJTG.31</t>
  </si>
  <si>
    <t>PJTG.32</t>
  </si>
  <si>
    <t>PJTG.33</t>
  </si>
  <si>
    <t>PJTG.34</t>
  </si>
  <si>
    <t>PJTG.35</t>
  </si>
  <si>
    <t>PJTG.36</t>
  </si>
  <si>
    <t>PJTG.37</t>
  </si>
  <si>
    <t>PJTG.38</t>
  </si>
  <si>
    <t>PJTG.39</t>
  </si>
  <si>
    <t>PJTG.40</t>
  </si>
  <si>
    <t>PJTG.41</t>
  </si>
  <si>
    <t>PJTG.42</t>
  </si>
  <si>
    <t>PJTG.43</t>
  </si>
  <si>
    <t>PJTG.44</t>
  </si>
  <si>
    <t>PJTG.45</t>
  </si>
  <si>
    <t>PJTG.46</t>
  </si>
  <si>
    <t>PJTG.47</t>
  </si>
  <si>
    <t>PJTG.48</t>
  </si>
  <si>
    <t>PJTG.49</t>
  </si>
  <si>
    <t>PJTG.50</t>
  </si>
  <si>
    <t>PJTG.51</t>
  </si>
  <si>
    <t>PJTG.52</t>
  </si>
  <si>
    <t>PJTG.53</t>
  </si>
  <si>
    <t>PJTG.54</t>
  </si>
  <si>
    <t>PJTG.55</t>
  </si>
  <si>
    <t>PJTG.56</t>
  </si>
  <si>
    <t>PJTG.57</t>
  </si>
  <si>
    <t>PJTG.58</t>
  </si>
  <si>
    <t>PJTG.59</t>
  </si>
  <si>
    <t>PJTG.60</t>
  </si>
  <si>
    <t>PJTG.61</t>
  </si>
  <si>
    <t>PJTG.62</t>
  </si>
  <si>
    <t>PJTG.63</t>
  </si>
  <si>
    <t>PJTG.64</t>
  </si>
  <si>
    <t>PJTG.65</t>
  </si>
  <si>
    <t>PJTG.66</t>
  </si>
  <si>
    <t>PJTG.67</t>
  </si>
  <si>
    <t>PJTG.68</t>
  </si>
  <si>
    <t>PJTG.69</t>
  </si>
  <si>
    <t>PJTG.70</t>
  </si>
  <si>
    <t>PJTG.71</t>
  </si>
  <si>
    <t>PJTG.72</t>
  </si>
  <si>
    <t>PJTG.73</t>
  </si>
  <si>
    <t>PJTG.74</t>
  </si>
  <si>
    <t>PJTG.75</t>
  </si>
  <si>
    <t>PJTG.76</t>
  </si>
  <si>
    <t>PJTG.77</t>
  </si>
  <si>
    <t>PJTG.78</t>
  </si>
  <si>
    <t>PJTG.79</t>
  </si>
  <si>
    <t>PJTG.80</t>
  </si>
  <si>
    <t>PJTG.81</t>
  </si>
  <si>
    <t>PJTG.82</t>
  </si>
  <si>
    <t>PJTG.83</t>
  </si>
  <si>
    <t>PJTG.84</t>
  </si>
  <si>
    <t>PJTG.85</t>
  </si>
  <si>
    <t>PJTG.86</t>
  </si>
  <si>
    <t>PJTG.87</t>
  </si>
  <si>
    <t>PJTG.88</t>
  </si>
  <si>
    <t>PJTG.89</t>
  </si>
  <si>
    <t>PJTG.90</t>
  </si>
  <si>
    <t>PJTG.91</t>
  </si>
  <si>
    <t>PJTG.92</t>
  </si>
  <si>
    <t>PJTG.93</t>
  </si>
  <si>
    <t>PJTG.94</t>
  </si>
  <si>
    <t>PJTG.95</t>
  </si>
  <si>
    <t>PJTG.96</t>
  </si>
  <si>
    <t>PJTG.97</t>
  </si>
  <si>
    <t>PJTG.98</t>
  </si>
  <si>
    <t>PJTG.99</t>
  </si>
  <si>
    <t>PJTG.100</t>
  </si>
  <si>
    <t>PJTG.101</t>
  </si>
  <si>
    <t>PJTG.102</t>
  </si>
  <si>
    <t>PJTG.103</t>
  </si>
  <si>
    <t>PJTG.104</t>
  </si>
  <si>
    <t>PJTG.105</t>
  </si>
  <si>
    <t>PJTG.106</t>
  </si>
  <si>
    <t>PJTG.107</t>
  </si>
  <si>
    <t>PJTG.108</t>
  </si>
  <si>
    <t>PJTG.109</t>
  </si>
  <si>
    <t>PJTG.110</t>
  </si>
  <si>
    <t>PJTG.111</t>
  </si>
  <si>
    <t>PJTG.112</t>
  </si>
  <si>
    <t>PJTG.113</t>
  </si>
  <si>
    <t>PJTG.114</t>
  </si>
  <si>
    <t>PJTG.115</t>
  </si>
  <si>
    <t>PJTG.116</t>
  </si>
  <si>
    <t>PJTG.117</t>
  </si>
  <si>
    <t>PJTG.118</t>
  </si>
  <si>
    <t>PJTG.119</t>
  </si>
  <si>
    <t>PJTG.120</t>
  </si>
  <si>
    <t>PJTG.121</t>
  </si>
  <si>
    <t>PJTG.122</t>
  </si>
  <si>
    <t>PJTG.123</t>
  </si>
  <si>
    <t>PJTG.124</t>
  </si>
  <si>
    <t>PJTG.125</t>
  </si>
  <si>
    <t>PJTG.126</t>
  </si>
  <si>
    <t>PJTG.127</t>
  </si>
  <si>
    <t>PJTG.128</t>
  </si>
  <si>
    <t>PJTG.129</t>
  </si>
  <si>
    <t>PJTG.130</t>
  </si>
  <si>
    <t>PJTG.131</t>
  </si>
  <si>
    <t>PJTG.132</t>
  </si>
  <si>
    <t>PJTG.133</t>
  </si>
  <si>
    <t>PJTG.134</t>
  </si>
  <si>
    <t>PJTG.135</t>
  </si>
  <si>
    <t>PJTG.136</t>
  </si>
  <si>
    <t>PJTG.137</t>
  </si>
  <si>
    <t>PJTG.138</t>
  </si>
  <si>
    <t>PJTG.139</t>
  </si>
  <si>
    <t>PJTG.140</t>
  </si>
  <si>
    <t>PJTG.141</t>
  </si>
  <si>
    <t>PJTG.142</t>
  </si>
  <si>
    <t>PJTG.143</t>
  </si>
  <si>
    <t>PJTG.144</t>
  </si>
  <si>
    <t>PJTG.145</t>
  </si>
  <si>
    <t>PJTG.146</t>
  </si>
  <si>
    <t>PJTG.147</t>
  </si>
  <si>
    <t>PJTG.148</t>
  </si>
  <si>
    <t>PJTG.149</t>
  </si>
  <si>
    <t>PJTG.150</t>
  </si>
  <si>
    <t>PJTG.151</t>
  </si>
  <si>
    <t>PJTG.152</t>
  </si>
  <si>
    <t>PJTG.153</t>
  </si>
  <si>
    <t>PJTG.154</t>
  </si>
  <si>
    <t>PJTG.155</t>
  </si>
  <si>
    <t>PJTG.156</t>
  </si>
  <si>
    <t>PJTG.157</t>
  </si>
  <si>
    <t>PJTG.158</t>
  </si>
  <si>
    <t>PJTG.159</t>
  </si>
  <si>
    <t>PJTG.160</t>
  </si>
  <si>
    <t>PJTG.161</t>
  </si>
  <si>
    <t>PJTG.162</t>
  </si>
  <si>
    <t>PJTG.163</t>
  </si>
  <si>
    <t>PJTG.164</t>
  </si>
  <si>
    <t>PJTG.165</t>
  </si>
  <si>
    <t>PJTG.166</t>
  </si>
  <si>
    <t>PJTG.167</t>
  </si>
  <si>
    <t>PJTG.168</t>
  </si>
  <si>
    <t>PJTG.169</t>
  </si>
  <si>
    <t>PJTG.170</t>
  </si>
  <si>
    <t>PJTG.171</t>
  </si>
  <si>
    <t>PJTG.172</t>
  </si>
  <si>
    <t>PJTG.173</t>
  </si>
  <si>
    <t>PJTG.174</t>
  </si>
  <si>
    <t>PJTG.175</t>
  </si>
  <si>
    <t>PJTG.176</t>
  </si>
  <si>
    <t>PJTG.177</t>
  </si>
  <si>
    <t>PJTG.178</t>
  </si>
  <si>
    <t>PJTG.179</t>
  </si>
  <si>
    <t>PJTG.180</t>
  </si>
  <si>
    <t>PJTG.181</t>
  </si>
  <si>
    <t>PJTG.182</t>
  </si>
  <si>
    <t>PJTG.183</t>
  </si>
  <si>
    <t>PJTG.184</t>
  </si>
  <si>
    <t>PJTG.185</t>
  </si>
  <si>
    <t>PJTG.186</t>
  </si>
  <si>
    <t>PJTG.187</t>
  </si>
  <si>
    <t>PJTG.188</t>
  </si>
  <si>
    <t>PJTG.189</t>
  </si>
  <si>
    <t>PJTG.190</t>
  </si>
  <si>
    <t>PJTG.191</t>
  </si>
  <si>
    <t>PJTG.192</t>
  </si>
  <si>
    <t>PJTG.193</t>
  </si>
  <si>
    <t>PJTG.194</t>
  </si>
  <si>
    <t>PJTG.195</t>
  </si>
  <si>
    <t>PJTG.196</t>
  </si>
  <si>
    <t>PJTG.197</t>
  </si>
  <si>
    <t>PJTG.198</t>
  </si>
  <si>
    <t>PJTG.199</t>
  </si>
  <si>
    <t>PJTG.200</t>
  </si>
  <si>
    <t>PJTG.201</t>
  </si>
  <si>
    <t>PJTG.202</t>
  </si>
  <si>
    <t>PJTG.203</t>
  </si>
  <si>
    <t>PJTG.204</t>
  </si>
  <si>
    <t>PJTG.205</t>
  </si>
  <si>
    <t>PJTG.206</t>
  </si>
  <si>
    <t>PJTG.207</t>
  </si>
  <si>
    <t>PJTG.208</t>
  </si>
  <si>
    <t>PJTG.209</t>
  </si>
  <si>
    <t>PJTG.210</t>
  </si>
  <si>
    <t>PJTG.211</t>
  </si>
  <si>
    <t>PJTG.212</t>
  </si>
  <si>
    <t>PJTG.213</t>
  </si>
  <si>
    <t>PJTG.214</t>
  </si>
  <si>
    <t>PJTG.215</t>
  </si>
  <si>
    <t>PJTG.216</t>
  </si>
  <si>
    <t>PJTG.217</t>
  </si>
  <si>
    <t>PJTG.218</t>
  </si>
  <si>
    <t>PJTG.219</t>
  </si>
  <si>
    <t>PJTG.220</t>
  </si>
  <si>
    <t>PJTG.221</t>
  </si>
  <si>
    <t>PJTG.222</t>
  </si>
  <si>
    <t>PJTG.223</t>
  </si>
  <si>
    <t>PJTG.224</t>
  </si>
  <si>
    <t>PJTG.225</t>
  </si>
  <si>
    <t>PJTG.226</t>
  </si>
  <si>
    <t>PJTG.227</t>
  </si>
  <si>
    <t>PJTG.228</t>
  </si>
  <si>
    <t>PJTG.229</t>
  </si>
  <si>
    <t>PJTG.230</t>
  </si>
  <si>
    <t>PJTG.231</t>
  </si>
  <si>
    <t>PJTG.232</t>
  </si>
  <si>
    <t>PJTG.233</t>
  </si>
  <si>
    <t>PJTG.234</t>
  </si>
  <si>
    <t>PJTG.235</t>
  </si>
  <si>
    <t>PJTG.236</t>
  </si>
  <si>
    <t>PJTG.237</t>
  </si>
  <si>
    <t>PJTG.238</t>
  </si>
  <si>
    <t>PJTG.239</t>
  </si>
  <si>
    <t>PJTG.240</t>
  </si>
  <si>
    <t>PJTG.241</t>
  </si>
  <si>
    <t>PJTG.242</t>
  </si>
  <si>
    <t>PJTG.243</t>
  </si>
  <si>
    <t>PJTG.244</t>
  </si>
  <si>
    <t>PJTG.245</t>
  </si>
  <si>
    <t>PJTG.246</t>
  </si>
  <si>
    <t>PJTG.247</t>
  </si>
  <si>
    <t>PJTG.248</t>
  </si>
  <si>
    <t>PJTG.249</t>
  </si>
  <si>
    <t>PJTG.250</t>
  </si>
  <si>
    <t>PJTG.251</t>
  </si>
  <si>
    <t>PJTG.252</t>
  </si>
  <si>
    <t>PJTG.253</t>
  </si>
  <si>
    <t>PJTG.254</t>
  </si>
  <si>
    <t>PJTG.255</t>
  </si>
  <si>
    <t>PJTG.256</t>
  </si>
  <si>
    <t>PJTG.257</t>
  </si>
  <si>
    <t>PJTG.258</t>
  </si>
  <si>
    <t>PJTG.259</t>
  </si>
  <si>
    <t>PJTG.260</t>
  </si>
  <si>
    <t>PJTG.261</t>
  </si>
  <si>
    <t>PJTG.262</t>
  </si>
  <si>
    <t>PJTG.263</t>
  </si>
  <si>
    <t>PJTG.264</t>
  </si>
  <si>
    <t>PJTG.265</t>
  </si>
  <si>
    <t>PJTG.266</t>
  </si>
  <si>
    <t>PJTG.267</t>
  </si>
  <si>
    <t>PJTG.268</t>
  </si>
  <si>
    <t>PJTG.269</t>
  </si>
  <si>
    <t>PJTG.270</t>
  </si>
  <si>
    <t>PJTG.271</t>
  </si>
  <si>
    <t>PJTG.272</t>
  </si>
  <si>
    <t>PJTG.273</t>
  </si>
  <si>
    <t>PJTG.274</t>
  </si>
  <si>
    <t>PJTG.275</t>
  </si>
  <si>
    <t>PJTG.276</t>
  </si>
  <si>
    <t>PJTG.277</t>
  </si>
  <si>
    <t>PJTG.278</t>
  </si>
  <si>
    <t>PJTG.279</t>
  </si>
  <si>
    <t>PJTG.280</t>
  </si>
  <si>
    <t>PJTG.281</t>
  </si>
  <si>
    <t>PJTG.282</t>
  </si>
  <si>
    <t>PJTG.283</t>
  </si>
  <si>
    <t>PJTG.284</t>
  </si>
  <si>
    <t>PJTG.285</t>
  </si>
  <si>
    <t>PJTG.286</t>
  </si>
  <si>
    <t>PJTG.287</t>
  </si>
  <si>
    <t>PJTG.288</t>
  </si>
  <si>
    <t>PJTG.289</t>
  </si>
  <si>
    <t>PJTG.290</t>
  </si>
  <si>
    <t>PJTG.291</t>
  </si>
  <si>
    <t>PJTG.292</t>
  </si>
  <si>
    <t>PJTG.293</t>
  </si>
  <si>
    <t>PJTG.294</t>
  </si>
  <si>
    <t>PJTG.295</t>
  </si>
  <si>
    <t>PJTG.296</t>
  </si>
  <si>
    <t>PJTG.297</t>
  </si>
  <si>
    <t>PJTG.298</t>
  </si>
  <si>
    <t>PJTG.299</t>
  </si>
  <si>
    <t>PJTG.300</t>
  </si>
  <si>
    <t>PJTG.301</t>
  </si>
  <si>
    <t>PJTG.302</t>
  </si>
  <si>
    <t>PJTG.303</t>
  </si>
  <si>
    <t>PJTG.304</t>
  </si>
  <si>
    <t>PJTG.305</t>
  </si>
  <si>
    <t>PJTG.306</t>
  </si>
  <si>
    <t>PJTG.307</t>
  </si>
  <si>
    <t>PJTG.308</t>
  </si>
  <si>
    <t>PJTG.309</t>
  </si>
  <si>
    <t>PJTG.310</t>
  </si>
  <si>
    <t>PJTG.311</t>
  </si>
  <si>
    <t>PJTG.312</t>
  </si>
  <si>
    <t>PJTG.313</t>
  </si>
  <si>
    <t>PJTG.314</t>
  </si>
  <si>
    <t>PJTG.315</t>
  </si>
  <si>
    <t>PJTG.316</t>
  </si>
  <si>
    <t>PJTG.317</t>
  </si>
  <si>
    <t>PJTG.318</t>
  </si>
  <si>
    <t>PJTG.319</t>
  </si>
  <si>
    <t>PJTG.320</t>
  </si>
  <si>
    <t>PJTG.321</t>
  </si>
  <si>
    <t>PJTG.322</t>
  </si>
  <si>
    <t>PJTG.323</t>
  </si>
  <si>
    <t>PJTG.324</t>
  </si>
  <si>
    <t>PJTG.325</t>
  </si>
  <si>
    <t>PJTG.326</t>
  </si>
  <si>
    <t>PJTG.327</t>
  </si>
  <si>
    <t>PJTG.328</t>
  </si>
  <si>
    <t>PJTG.329</t>
  </si>
  <si>
    <t>PJTG.330</t>
  </si>
  <si>
    <t>PJTG.331</t>
  </si>
  <si>
    <t>PJTG.332</t>
  </si>
  <si>
    <t>PJTG.333</t>
  </si>
  <si>
    <t>PJTG.334</t>
  </si>
  <si>
    <t>PJTG.335</t>
  </si>
  <si>
    <t>PJTG.336</t>
  </si>
  <si>
    <t>PJTG.337</t>
  </si>
  <si>
    <t>PJTG.338</t>
  </si>
  <si>
    <t>PJTG.339</t>
  </si>
  <si>
    <t>PJTG.340</t>
  </si>
  <si>
    <t>PJTG.341</t>
  </si>
  <si>
    <t>PJTG.342</t>
  </si>
  <si>
    <t>PJTG.343</t>
  </si>
  <si>
    <t>PJTG.344</t>
  </si>
  <si>
    <t>PJTG.345</t>
  </si>
  <si>
    <t>PJTG.346</t>
  </si>
  <si>
    <t>RS Mardi Rahayu Kudus</t>
  </si>
  <si>
    <t>RS Panti Wilasa Citarum Semarang</t>
  </si>
  <si>
    <t>RS Indo Sehat Karanganyar</t>
  </si>
  <si>
    <t>RSIA Permata Purworejo</t>
  </si>
  <si>
    <t>KELAS RS</t>
  </si>
  <si>
    <t>IUR REAL</t>
  </si>
  <si>
    <t>ALAMAT</t>
  </si>
  <si>
    <t>EMAIL</t>
  </si>
  <si>
    <t>KONTAK PIC (WA)</t>
  </si>
  <si>
    <t>Daftar Anggota dapat di manage (create, Update, non aktif) oleh admin via fitur setting Anggota</t>
  </si>
  <si>
    <t>Daftar Kelas RS dapat di manage (create, Update, non aktif) oleh admin via fitur setting Kelas RS</t>
  </si>
  <si>
    <t xml:space="preserve">Iuran anggota </t>
  </si>
  <si>
    <t>Iuran tunggakan anggota</t>
  </si>
  <si>
    <t>MENU</t>
  </si>
  <si>
    <t>NO</t>
  </si>
  <si>
    <t>Tgl. Pengajuan</t>
  </si>
  <si>
    <t>NO. UMK</t>
  </si>
  <si>
    <t>Nama Kegiatan</t>
  </si>
  <si>
    <t>Outstanding</t>
  </si>
  <si>
    <t>Seminar xxxxxxxx</t>
  </si>
  <si>
    <t>Pengajuan</t>
  </si>
  <si>
    <t>Penerimaan</t>
  </si>
  <si>
    <t>Pengeluaran</t>
  </si>
  <si>
    <t>000000001</t>
  </si>
  <si>
    <t>Realisasi</t>
  </si>
  <si>
    <t xml:space="preserve">LAPORAN PERTANGGUNGJAWABAN KEUANGAN </t>
  </si>
  <si>
    <t xml:space="preserve">PERHIMPUNAN RUMAH SAKIT INDONESIA  (PERSI)  DAERAH JAWA TENGAH </t>
  </si>
  <si>
    <t>TAHUN 2022 - 2025</t>
  </si>
  <si>
    <t xml:space="preserve">NO </t>
  </si>
  <si>
    <t>URAIAN</t>
  </si>
  <si>
    <t>A</t>
  </si>
  <si>
    <t xml:space="preserve">PENERIMAAN </t>
  </si>
  <si>
    <t>I</t>
  </si>
  <si>
    <t>II</t>
  </si>
  <si>
    <t xml:space="preserve">PENERIMAAN PROGRAM </t>
  </si>
  <si>
    <t>III</t>
  </si>
  <si>
    <t xml:space="preserve">PENERIMAAN LAIN </t>
  </si>
  <si>
    <t>TOTAL PENERIMAAN (A)</t>
  </si>
  <si>
    <t>B</t>
  </si>
  <si>
    <t xml:space="preserve">PENGELUARAN  </t>
  </si>
  <si>
    <t>IV</t>
  </si>
  <si>
    <t>VI</t>
  </si>
  <si>
    <t>VII</t>
  </si>
  <si>
    <t xml:space="preserve">TOTAL PENGELUARAN </t>
  </si>
  <si>
    <t>C</t>
  </si>
  <si>
    <t>SALDO AKHIR  ( A - B)</t>
  </si>
  <si>
    <t>D</t>
  </si>
  <si>
    <t>SALDO AWAL  (Saldo kas dan bank per 31 Des tahun berjalan)</t>
  </si>
  <si>
    <t>E</t>
  </si>
  <si>
    <t>KAS &amp; SETARA KAS ( C + D)</t>
  </si>
  <si>
    <t xml:space="preserve">BANK </t>
  </si>
  <si>
    <t>KAS KECIL</t>
  </si>
  <si>
    <t>TOTAL</t>
  </si>
  <si>
    <t>JANUARI</t>
  </si>
  <si>
    <t>FEBRUARI</t>
  </si>
  <si>
    <t>MARET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</si>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</sst>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41" fontId="0" fillId="0" borderId="0" xfId="2" applyFont="1"/>
    <xf numFmtId="0" fontId="3" fillId="0" borderId="0" xfId="0" applyFont="1" applyAlignment="1">
      <alignment horizontal="center"/>
    </xf>
    <xf numFmtId="41" fontId="0" fillId="0" borderId="0" xfId="2" applyFont="1" applyAlignment="1">
      <alignment horizontal="center"/>
    </xf>
    <xf numFmtId="0" fontId="0" fillId="2" borderId="0" xfId="0" applyFill="1"/>
    <xf numFmtId="0" fontId="0" fillId="3" borderId="0" xfId="0" applyFill="1"/>
    <xf numFmtId="0" fontId="7" fillId="2" borderId="0" xfId="0" applyFont="1" applyFill="1"/>
    <xf numFmtId="0" fontId="3" fillId="0" borderId="4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3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5" fillId="0" borderId="0" xfId="0" applyFont="1" applyAlignment="1">
      <alignment horizontal="center" vertical="center"/>
    </xf>
    <xf numFmtId="41" fontId="5" fillId="0" borderId="0" xfId="2" applyFont="1" applyAlignment="1">
      <alignment horizontal="center" vertical="center"/>
    </xf>
    <xf numFmtId="0" fontId="8" fillId="0" borderId="0" xfId="0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8" fillId="0" borderId="0" xfId="0" quotePrefix="1" applyFont="1" applyAlignment="1">
      <alignment vertical="center"/>
    </xf>
    <xf numFmtId="41" fontId="8" fillId="0" borderId="0" xfId="2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/>
    <xf numFmtId="0" fontId="6" fillId="0" borderId="1" xfId="0" applyFont="1" applyBorder="1"/>
    <xf numFmtId="0" fontId="9" fillId="0" borderId="1" xfId="0" applyFont="1" applyBorder="1"/>
    <xf numFmtId="0" fontId="11" fillId="0" borderId="1" xfId="0" applyFont="1" applyBorder="1"/>
    <xf numFmtId="0" fontId="10" fillId="0" borderId="1" xfId="0" applyFont="1" applyBorder="1"/>
    <xf numFmtId="0" fontId="12" fillId="4" borderId="1" xfId="0" applyFont="1" applyFill="1" applyBorder="1" applyAlignment="1">
      <alignment horizontal="left" vertical="center" wrapText="1" readingOrder="1"/>
    </xf>
    <xf numFmtId="0" fontId="9" fillId="4" borderId="1" xfId="0" applyFont="1" applyFill="1" applyBorder="1" applyAlignment="1">
      <alignment horizontal="center"/>
    </xf>
    <xf numFmtId="0" fontId="11" fillId="4" borderId="1" xfId="0" applyFont="1" applyFill="1" applyBorder="1"/>
    <xf numFmtId="0" fontId="9" fillId="4" borderId="1" xfId="0" applyFont="1" applyFill="1" applyBorder="1" applyAlignment="1">
      <alignment horizontal="left" vertical="center" wrapText="1" readingOrder="1"/>
    </xf>
    <xf numFmtId="0" fontId="6" fillId="4" borderId="1" xfId="0" applyFont="1" applyFill="1" applyBorder="1" applyAlignment="1">
      <alignment horizontal="left" vertical="center" wrapText="1" readingOrder="1"/>
    </xf>
    <xf numFmtId="0" fontId="6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left" vertical="center" wrapText="1" readingOrder="1"/>
    </xf>
    <xf numFmtId="0" fontId="15" fillId="5" borderId="1" xfId="0" applyFont="1" applyFill="1" applyBorder="1" applyAlignment="1">
      <alignment horizontal="left" vertical="center" wrapText="1" indent="1" readingOrder="1"/>
    </xf>
    <xf numFmtId="0" fontId="9" fillId="4" borderId="0" xfId="0" applyFont="1" applyFill="1" applyAlignment="1">
      <alignment horizontal="center"/>
    </xf>
    <xf numFmtId="0" fontId="15" fillId="5" borderId="0" xfId="0" applyFont="1" applyFill="1" applyAlignment="1">
      <alignment horizontal="left" vertical="center" wrapText="1" indent="1" readingOrder="1"/>
    </xf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3" xfId="0" applyFont="1" applyBorder="1" applyAlignment="1">
      <alignment horizontal="center" vertical="center"/>
    </xf>
    <xf numFmtId="0" fontId="9" fillId="4" borderId="3" xfId="0" applyFont="1" applyFill="1" applyBorder="1"/>
    <xf numFmtId="0" fontId="9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15" fillId="4" borderId="11" xfId="0" applyFont="1" applyFill="1" applyBorder="1" applyAlignment="1">
      <alignment horizontal="left" vertical="center" wrapText="1" readingOrder="1"/>
    </xf>
    <xf numFmtId="0" fontId="6" fillId="0" borderId="7" xfId="0" applyFont="1" applyFill="1" applyBorder="1" applyAlignment="1">
      <alignment horizontal="center"/>
    </xf>
    <xf numFmtId="164" fontId="6" fillId="0" borderId="9" xfId="1" applyNumberFormat="1" applyFont="1" applyFill="1" applyBorder="1" applyAlignment="1">
      <alignment horizontal="center"/>
    </xf>
    <xf numFmtId="164" fontId="9" fillId="0" borderId="1" xfId="1" applyNumberFormat="1" applyFont="1" applyFill="1" applyBorder="1"/>
    <xf numFmtId="41" fontId="0" fillId="0" borderId="1" xfId="0" applyNumberFormat="1" applyFill="1" applyBorder="1"/>
    <xf numFmtId="41" fontId="9" fillId="0" borderId="1" xfId="1" applyNumberFormat="1" applyFont="1" applyFill="1" applyBorder="1"/>
    <xf numFmtId="41" fontId="9" fillId="0" borderId="1" xfId="0" applyNumberFormat="1" applyFont="1" applyFill="1" applyBorder="1"/>
    <xf numFmtId="41" fontId="10" fillId="0" borderId="1" xfId="0" applyNumberFormat="1" applyFont="1" applyFill="1" applyBorder="1"/>
    <xf numFmtId="41" fontId="0" fillId="0" borderId="0" xfId="0" applyNumberFormat="1" applyFill="1"/>
    <xf numFmtId="0" fontId="9" fillId="0" borderId="0" xfId="0" applyFont="1" applyFill="1"/>
    <xf numFmtId="164" fontId="11" fillId="0" borderId="1" xfId="1" applyNumberFormat="1" applyFont="1" applyFill="1" applyBorder="1"/>
    <xf numFmtId="41" fontId="11" fillId="0" borderId="1" xfId="0" applyNumberFormat="1" applyFont="1" applyFill="1" applyBorder="1"/>
    <xf numFmtId="3" fontId="12" fillId="0" borderId="1" xfId="0" applyNumberFormat="1" applyFont="1" applyFill="1" applyBorder="1" applyAlignment="1">
      <alignment horizontal="right" vertical="top" wrapText="1" readingOrder="1"/>
    </xf>
    <xf numFmtId="41" fontId="8" fillId="0" borderId="1" xfId="0" applyNumberFormat="1" applyFont="1" applyFill="1" applyBorder="1"/>
    <xf numFmtId="3" fontId="12" fillId="0" borderId="1" xfId="0" applyNumberFormat="1" applyFont="1" applyFill="1" applyBorder="1"/>
    <xf numFmtId="41" fontId="12" fillId="0" borderId="1" xfId="0" applyNumberFormat="1" applyFont="1" applyFill="1" applyBorder="1"/>
    <xf numFmtId="3" fontId="12" fillId="0" borderId="1" xfId="0" applyNumberFormat="1" applyFont="1" applyFill="1" applyBorder="1" applyAlignment="1">
      <alignment horizontal="right" wrapText="1" readingOrder="1"/>
    </xf>
    <xf numFmtId="41" fontId="9" fillId="0" borderId="1" xfId="0" applyNumberFormat="1" applyFont="1" applyFill="1" applyBorder="1" applyAlignment="1">
      <alignment vertical="top"/>
    </xf>
    <xf numFmtId="3" fontId="10" fillId="0" borderId="1" xfId="0" applyNumberFormat="1" applyFont="1" applyFill="1" applyBorder="1" applyAlignment="1">
      <alignment horizontal="right" vertical="top" wrapText="1" readingOrder="1"/>
    </xf>
    <xf numFmtId="41" fontId="13" fillId="0" borderId="1" xfId="0" applyNumberFormat="1" applyFont="1" applyFill="1" applyBorder="1"/>
    <xf numFmtId="0" fontId="0" fillId="0" borderId="1" xfId="0" applyFill="1" applyBorder="1"/>
    <xf numFmtId="41" fontId="12" fillId="0" borderId="1" xfId="0" applyNumberFormat="1" applyFont="1" applyFill="1" applyBorder="1" applyAlignment="1">
      <alignment horizontal="right" vertical="top" wrapText="1" readingOrder="1"/>
    </xf>
    <xf numFmtId="3" fontId="12" fillId="0" borderId="1" xfId="0" applyNumberFormat="1" applyFont="1" applyFill="1" applyBorder="1" applyAlignment="1">
      <alignment horizontal="left" vertical="top" wrapText="1" readingOrder="1"/>
    </xf>
    <xf numFmtId="41" fontId="2" fillId="0" borderId="1" xfId="0" applyNumberFormat="1" applyFont="1" applyFill="1" applyBorder="1"/>
    <xf numFmtId="41" fontId="14" fillId="0" borderId="1" xfId="2" applyFont="1" applyFill="1" applyBorder="1" applyAlignment="1">
      <alignment vertical="top"/>
    </xf>
    <xf numFmtId="3" fontId="9" fillId="0" borderId="1" xfId="0" applyNumberFormat="1" applyFont="1" applyFill="1" applyBorder="1" applyAlignment="1">
      <alignment horizontal="right" vertical="top" wrapText="1" readingOrder="1"/>
    </xf>
    <xf numFmtId="164" fontId="6" fillId="0" borderId="1" xfId="1" applyNumberFormat="1" applyFont="1" applyFill="1" applyBorder="1" applyAlignment="1">
      <alignment horizontal="center"/>
    </xf>
    <xf numFmtId="41" fontId="6" fillId="0" borderId="1" xfId="1" applyNumberFormat="1" applyFont="1" applyFill="1" applyBorder="1" applyAlignment="1">
      <alignment horizontal="center"/>
    </xf>
    <xf numFmtId="3" fontId="12" fillId="0" borderId="11" xfId="0" applyNumberFormat="1" applyFont="1" applyFill="1" applyBorder="1" applyAlignment="1">
      <alignment horizontal="right" vertical="top" wrapText="1" readingOrder="1"/>
    </xf>
    <xf numFmtId="41" fontId="9" fillId="0" borderId="11" xfId="0" applyNumberFormat="1" applyFont="1" applyFill="1" applyBorder="1"/>
    <xf numFmtId="3" fontId="12" fillId="0" borderId="0" xfId="0" applyNumberFormat="1" applyFont="1" applyFill="1" applyAlignment="1">
      <alignment horizontal="right" vertical="top" wrapText="1" readingOrder="1"/>
    </xf>
    <xf numFmtId="0" fontId="0" fillId="0" borderId="0" xfId="0" applyFill="1"/>
  </cellXfs>
  <cellStyles count="3">
    <cellStyle name="Comma" xfId="1" builtinId="3"/>
    <cellStyle name="Comma [0]" xfId="2" builtinId="6"/>
    <cellStyle name="Normal" xfId="0" builtinId="0"/>
  </cellStyles>
  <dxfs count="2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_-* #,##0_-;\-* #,##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21E5FF78-C5F1-4531-BF86-67DF42A8D2F9}" type="doc">
      <dgm:prSet loTypeId="urn:microsoft.com/office/officeart/2005/8/layout/StepDownProcess" loCatId="process" qsTypeId="urn:microsoft.com/office/officeart/2005/8/quickstyle/simple5" qsCatId="simple" csTypeId="urn:microsoft.com/office/officeart/2005/8/colors/colorful1" csCatId="colorful" phldr="1"/>
      <dgm:spPr/>
      <dgm:t>
        <a:bodyPr/>
        <a:lstStyle/>
        <a:p>
          <a:endParaRPr lang="en-ID"/>
        </a:p>
      </dgm:t>
    </dgm:pt>
    <dgm:pt modelId="{9161DB59-63C3-4454-9DB4-0C022940DF73}">
      <dgm:prSet phldrT="[Text]"/>
      <dgm:spPr/>
      <dgm:t>
        <a:bodyPr/>
        <a:lstStyle/>
        <a:p>
          <a:r>
            <a:rPr lang="en-ID"/>
            <a:t>INPUT PENERIMAAN</a:t>
          </a:r>
        </a:p>
      </dgm:t>
    </dgm:pt>
    <dgm:pt modelId="{D17889B4-8F9C-451C-A344-88552EBA525A}" type="parTrans" cxnId="{6FE22243-0EA0-417E-99A0-5C9810636DB1}">
      <dgm:prSet/>
      <dgm:spPr/>
      <dgm:t>
        <a:bodyPr/>
        <a:lstStyle/>
        <a:p>
          <a:endParaRPr lang="en-ID"/>
        </a:p>
      </dgm:t>
    </dgm:pt>
    <dgm:pt modelId="{FC22CECD-CCB7-4A75-A974-3D99D6E09603}" type="sibTrans" cxnId="{6FE22243-0EA0-417E-99A0-5C9810636DB1}">
      <dgm:prSet/>
      <dgm:spPr/>
      <dgm:t>
        <a:bodyPr/>
        <a:lstStyle/>
        <a:p>
          <a:endParaRPr lang="en-ID"/>
        </a:p>
      </dgm:t>
    </dgm:pt>
    <dgm:pt modelId="{33F9AAA3-37B3-4568-9556-342C6E430700}">
      <dgm:prSet phldrT="[Text]" custT="1"/>
      <dgm:spPr/>
      <dgm:t>
        <a:bodyPr/>
        <a:lstStyle/>
        <a:p>
          <a:r>
            <a:rPr lang="en-ID" sz="1100"/>
            <a:t>Penerimaan Petty Cash</a:t>
          </a:r>
        </a:p>
      </dgm:t>
    </dgm:pt>
    <dgm:pt modelId="{62D0D768-4A31-49F2-8D45-3A6E31461A4E}" type="parTrans" cxnId="{714BB9F2-C5FC-40F2-8BD5-77ED2F4AB507}">
      <dgm:prSet/>
      <dgm:spPr/>
      <dgm:t>
        <a:bodyPr/>
        <a:lstStyle/>
        <a:p>
          <a:endParaRPr lang="en-ID"/>
        </a:p>
      </dgm:t>
    </dgm:pt>
    <dgm:pt modelId="{B5B71B60-4F1C-43CF-AB87-87D82D9FC587}" type="sibTrans" cxnId="{714BB9F2-C5FC-40F2-8BD5-77ED2F4AB507}">
      <dgm:prSet/>
      <dgm:spPr/>
      <dgm:t>
        <a:bodyPr/>
        <a:lstStyle/>
        <a:p>
          <a:endParaRPr lang="en-ID"/>
        </a:p>
      </dgm:t>
    </dgm:pt>
    <dgm:pt modelId="{03FCEE51-BAF3-47EC-9A1F-AEE4C3DF041F}">
      <dgm:prSet phldrT="[Text]"/>
      <dgm:spPr/>
      <dgm:t>
        <a:bodyPr/>
        <a:lstStyle/>
        <a:p>
          <a:r>
            <a:rPr lang="en-ID"/>
            <a:t>INPUT PENGELUARAN</a:t>
          </a:r>
        </a:p>
      </dgm:t>
    </dgm:pt>
    <dgm:pt modelId="{43711402-2292-4A0C-88D0-333269966599}" type="parTrans" cxnId="{2EDF207B-1959-4409-B998-EB94491487E6}">
      <dgm:prSet/>
      <dgm:spPr/>
      <dgm:t>
        <a:bodyPr/>
        <a:lstStyle/>
        <a:p>
          <a:endParaRPr lang="en-ID"/>
        </a:p>
      </dgm:t>
    </dgm:pt>
    <dgm:pt modelId="{C6FDD8CE-14C7-4837-B550-B546E7A9104C}" type="sibTrans" cxnId="{2EDF207B-1959-4409-B998-EB94491487E6}">
      <dgm:prSet/>
      <dgm:spPr/>
      <dgm:t>
        <a:bodyPr/>
        <a:lstStyle/>
        <a:p>
          <a:endParaRPr lang="en-ID"/>
        </a:p>
      </dgm:t>
    </dgm:pt>
    <dgm:pt modelId="{9AF56DE9-3936-474C-B597-AB17B7265FAE}">
      <dgm:prSet phldrT="[Text]"/>
      <dgm:spPr/>
      <dgm:t>
        <a:bodyPr/>
        <a:lstStyle/>
        <a:p>
          <a:r>
            <a:rPr lang="en-ID"/>
            <a:t>REPORTING</a:t>
          </a:r>
        </a:p>
      </dgm:t>
    </dgm:pt>
    <dgm:pt modelId="{E7DDECFB-99F4-49FF-800F-B7B82F66BBF0}" type="parTrans" cxnId="{7E0AD554-5197-47A1-BF6C-C9E60FD714C4}">
      <dgm:prSet/>
      <dgm:spPr/>
      <dgm:t>
        <a:bodyPr/>
        <a:lstStyle/>
        <a:p>
          <a:endParaRPr lang="en-ID"/>
        </a:p>
      </dgm:t>
    </dgm:pt>
    <dgm:pt modelId="{57E681A6-7E5D-4D33-AEA9-B4C9DDA6C2A6}" type="sibTrans" cxnId="{7E0AD554-5197-47A1-BF6C-C9E60FD714C4}">
      <dgm:prSet/>
      <dgm:spPr/>
      <dgm:t>
        <a:bodyPr/>
        <a:lstStyle/>
        <a:p>
          <a:endParaRPr lang="en-ID"/>
        </a:p>
      </dgm:t>
    </dgm:pt>
    <dgm:pt modelId="{666F1BC0-4D86-4BC0-8703-7CD3CF3CD7C5}">
      <dgm:prSet phldrT="[Text]" custT="1"/>
      <dgm:spPr/>
      <dgm:t>
        <a:bodyPr/>
        <a:lstStyle/>
        <a:p>
          <a:r>
            <a:rPr lang="en-ID" sz="1100"/>
            <a:t>Laporan Cashflow bulan ini dan perbandingan</a:t>
          </a:r>
        </a:p>
      </dgm:t>
    </dgm:pt>
    <dgm:pt modelId="{1FA8E101-68E5-48D5-934B-69A32A1C2532}" type="parTrans" cxnId="{7F294563-2A4A-427E-8AD2-C025F55E1F23}">
      <dgm:prSet/>
      <dgm:spPr/>
      <dgm:t>
        <a:bodyPr/>
        <a:lstStyle/>
        <a:p>
          <a:endParaRPr lang="en-ID"/>
        </a:p>
      </dgm:t>
    </dgm:pt>
    <dgm:pt modelId="{E9BBEA81-10EF-45B1-9F45-DA36B8C609BE}" type="sibTrans" cxnId="{7F294563-2A4A-427E-8AD2-C025F55E1F23}">
      <dgm:prSet/>
      <dgm:spPr/>
      <dgm:t>
        <a:bodyPr/>
        <a:lstStyle/>
        <a:p>
          <a:endParaRPr lang="en-ID"/>
        </a:p>
      </dgm:t>
    </dgm:pt>
    <dgm:pt modelId="{D1353E06-356A-476F-969E-2BFAA6C54BD1}">
      <dgm:prSet phldrT="[Text]" custT="1"/>
      <dgm:spPr/>
      <dgm:t>
        <a:bodyPr/>
        <a:lstStyle/>
        <a:p>
          <a:r>
            <a:rPr lang="en-ID" sz="1100"/>
            <a:t>Laporan saldo Bank</a:t>
          </a:r>
        </a:p>
      </dgm:t>
    </dgm:pt>
    <dgm:pt modelId="{82C3D766-F7F0-45E4-AB44-D9AB441F9EC8}" type="parTrans" cxnId="{CE03A0F9-6946-4E89-9E76-D4A3FFE4D6DB}">
      <dgm:prSet/>
      <dgm:spPr/>
      <dgm:t>
        <a:bodyPr/>
        <a:lstStyle/>
        <a:p>
          <a:endParaRPr lang="en-ID"/>
        </a:p>
      </dgm:t>
    </dgm:pt>
    <dgm:pt modelId="{E87301B5-6DE4-4A06-8A92-8C170116CE05}" type="sibTrans" cxnId="{CE03A0F9-6946-4E89-9E76-D4A3FFE4D6DB}">
      <dgm:prSet/>
      <dgm:spPr/>
      <dgm:t>
        <a:bodyPr/>
        <a:lstStyle/>
        <a:p>
          <a:endParaRPr lang="en-ID"/>
        </a:p>
      </dgm:t>
    </dgm:pt>
    <dgm:pt modelId="{503BF4A8-4E89-42F5-939C-2DF1B0401C3E}">
      <dgm:prSet phldrT="[Text]" custT="1"/>
      <dgm:spPr/>
      <dgm:t>
        <a:bodyPr/>
        <a:lstStyle/>
        <a:p>
          <a:r>
            <a:rPr lang="en-ID" sz="1100"/>
            <a:t>Laporan Saldo Kas  Kecil </a:t>
          </a:r>
        </a:p>
      </dgm:t>
    </dgm:pt>
    <dgm:pt modelId="{10254DA3-FDFD-494C-A73F-77DE27263C52}" type="parTrans" cxnId="{6CFDAFAC-D8A7-4005-A5CE-E9833BE352F7}">
      <dgm:prSet/>
      <dgm:spPr/>
      <dgm:t>
        <a:bodyPr/>
        <a:lstStyle/>
        <a:p>
          <a:endParaRPr lang="en-ID"/>
        </a:p>
      </dgm:t>
    </dgm:pt>
    <dgm:pt modelId="{59088CE5-E5DB-495F-B071-66702F404EED}" type="sibTrans" cxnId="{6CFDAFAC-D8A7-4005-A5CE-E9833BE352F7}">
      <dgm:prSet/>
      <dgm:spPr/>
      <dgm:t>
        <a:bodyPr/>
        <a:lstStyle/>
        <a:p>
          <a:endParaRPr lang="en-ID"/>
        </a:p>
      </dgm:t>
    </dgm:pt>
    <dgm:pt modelId="{5EF142D6-835C-4719-AB76-B51C2D1D1E1D}">
      <dgm:prSet phldrT="[Text]" custT="1"/>
      <dgm:spPr/>
      <dgm:t>
        <a:bodyPr/>
        <a:lstStyle/>
        <a:p>
          <a:r>
            <a:rPr lang="en-ID" sz="1100"/>
            <a:t>Pengeluaran Petty Cash</a:t>
          </a:r>
        </a:p>
      </dgm:t>
    </dgm:pt>
    <dgm:pt modelId="{35D07790-133B-415A-BCA1-A139708C12D5}" type="sibTrans" cxnId="{174C29FB-B9A9-4E32-8EC4-95BEB902E70B}">
      <dgm:prSet/>
      <dgm:spPr/>
      <dgm:t>
        <a:bodyPr/>
        <a:lstStyle/>
        <a:p>
          <a:endParaRPr lang="en-ID"/>
        </a:p>
      </dgm:t>
    </dgm:pt>
    <dgm:pt modelId="{D39AE6FD-9A15-41CC-9B9A-FBB3E1FA44A1}" type="parTrans" cxnId="{174C29FB-B9A9-4E32-8EC4-95BEB902E70B}">
      <dgm:prSet/>
      <dgm:spPr/>
      <dgm:t>
        <a:bodyPr/>
        <a:lstStyle/>
        <a:p>
          <a:endParaRPr lang="en-ID"/>
        </a:p>
      </dgm:t>
    </dgm:pt>
    <dgm:pt modelId="{722AB4B7-19BB-4E8F-A54D-7E1DCF0F208B}">
      <dgm:prSet phldrT="[Text]" custT="1"/>
      <dgm:spPr/>
      <dgm:t>
        <a:bodyPr/>
        <a:lstStyle/>
        <a:p>
          <a:r>
            <a:rPr lang="en-ID" sz="1100"/>
            <a:t>Pengeluaran Bank</a:t>
          </a:r>
        </a:p>
      </dgm:t>
    </dgm:pt>
    <dgm:pt modelId="{2FA3C9C8-2D71-437B-82AA-AF9EFC56BB0D}" type="parTrans" cxnId="{3353A754-81B8-41E2-B808-FDE205A91BC0}">
      <dgm:prSet/>
      <dgm:spPr/>
      <dgm:t>
        <a:bodyPr/>
        <a:lstStyle/>
        <a:p>
          <a:endParaRPr lang="en-ID"/>
        </a:p>
      </dgm:t>
    </dgm:pt>
    <dgm:pt modelId="{6509F2E6-01A6-4D33-A2EE-6F48C568695D}" type="sibTrans" cxnId="{3353A754-81B8-41E2-B808-FDE205A91BC0}">
      <dgm:prSet/>
      <dgm:spPr/>
      <dgm:t>
        <a:bodyPr/>
        <a:lstStyle/>
        <a:p>
          <a:endParaRPr lang="en-ID"/>
        </a:p>
      </dgm:t>
    </dgm:pt>
    <dgm:pt modelId="{EDC56F68-C60A-4C3B-AEE3-ECC7B8740E1D}">
      <dgm:prSet phldrT="[Text]" custT="1"/>
      <dgm:spPr/>
      <dgm:t>
        <a:bodyPr/>
        <a:lstStyle/>
        <a:p>
          <a:r>
            <a:rPr lang="en-ID" sz="1100"/>
            <a:t>Penerimaan Bank</a:t>
          </a:r>
        </a:p>
      </dgm:t>
    </dgm:pt>
    <dgm:pt modelId="{D762AB11-70D7-40E5-AA7E-C7582CA3BDC6}" type="parTrans" cxnId="{BABCD201-E716-4B56-B5ED-465D8F947CA4}">
      <dgm:prSet/>
      <dgm:spPr/>
      <dgm:t>
        <a:bodyPr/>
        <a:lstStyle/>
        <a:p>
          <a:endParaRPr lang="en-ID"/>
        </a:p>
      </dgm:t>
    </dgm:pt>
    <dgm:pt modelId="{DCA9C6B5-2FD6-44F8-84B2-29163430E4A9}" type="sibTrans" cxnId="{BABCD201-E716-4B56-B5ED-465D8F947CA4}">
      <dgm:prSet/>
      <dgm:spPr/>
      <dgm:t>
        <a:bodyPr/>
        <a:lstStyle/>
        <a:p>
          <a:endParaRPr lang="en-ID"/>
        </a:p>
      </dgm:t>
    </dgm:pt>
    <dgm:pt modelId="{13FEC997-F176-441D-94F4-3BE8626ECAB7}">
      <dgm:prSet phldrT="[Text]"/>
      <dgm:spPr/>
      <dgm:t>
        <a:bodyPr/>
        <a:lstStyle/>
        <a:p>
          <a:r>
            <a:rPr lang="en-ID"/>
            <a:t>UANG MUKA KEGIATAN</a:t>
          </a:r>
        </a:p>
      </dgm:t>
    </dgm:pt>
    <dgm:pt modelId="{47D386E1-A94F-4B36-A987-EB84AD083AF1}" type="parTrans" cxnId="{77745C5F-1EDF-4341-8F6F-59718CE41430}">
      <dgm:prSet/>
      <dgm:spPr/>
      <dgm:t>
        <a:bodyPr/>
        <a:lstStyle/>
        <a:p>
          <a:endParaRPr lang="en-ID"/>
        </a:p>
      </dgm:t>
    </dgm:pt>
    <dgm:pt modelId="{2A48F3A1-E227-43E8-B6A9-7CC1DE851456}" type="sibTrans" cxnId="{77745C5F-1EDF-4341-8F6F-59718CE41430}">
      <dgm:prSet/>
      <dgm:spPr/>
      <dgm:t>
        <a:bodyPr/>
        <a:lstStyle/>
        <a:p>
          <a:endParaRPr lang="en-ID"/>
        </a:p>
      </dgm:t>
    </dgm:pt>
    <dgm:pt modelId="{11666DAD-B551-47AD-B823-F457837E200D}">
      <dgm:prSet phldrT="[Text]" custT="1"/>
      <dgm:spPr/>
      <dgm:t>
        <a:bodyPr/>
        <a:lstStyle/>
        <a:p>
          <a:r>
            <a:rPr lang="en-ID" sz="1100"/>
            <a:t>Pengajuan Uang Muka kegiatan</a:t>
          </a:r>
        </a:p>
      </dgm:t>
    </dgm:pt>
    <dgm:pt modelId="{90329BD5-E977-45A2-AE86-91E93B62175A}" type="parTrans" cxnId="{D0DA65CC-0AA8-453C-B1A3-92CFFC4B26B1}">
      <dgm:prSet/>
      <dgm:spPr/>
      <dgm:t>
        <a:bodyPr/>
        <a:lstStyle/>
        <a:p>
          <a:endParaRPr lang="en-ID"/>
        </a:p>
      </dgm:t>
    </dgm:pt>
    <dgm:pt modelId="{5FE63AAF-89FE-4903-98A9-C94B1FCC947D}" type="sibTrans" cxnId="{D0DA65CC-0AA8-453C-B1A3-92CFFC4B26B1}">
      <dgm:prSet/>
      <dgm:spPr/>
      <dgm:t>
        <a:bodyPr/>
        <a:lstStyle/>
        <a:p>
          <a:endParaRPr lang="en-ID"/>
        </a:p>
      </dgm:t>
    </dgm:pt>
    <dgm:pt modelId="{5273CFBA-914C-473A-B52A-8E9A50FC375B}">
      <dgm:prSet phldrT="[Text]" custT="1"/>
      <dgm:spPr/>
      <dgm:t>
        <a:bodyPr/>
        <a:lstStyle/>
        <a:p>
          <a:r>
            <a:rPr lang="en-ID" sz="1100"/>
            <a:t>LPJ uang muka kegiatan</a:t>
          </a:r>
        </a:p>
      </dgm:t>
    </dgm:pt>
    <dgm:pt modelId="{373A5580-E1B3-4B89-B077-8D2FEA9DAF9D}" type="parTrans" cxnId="{628ECE6C-7A91-4983-A2D2-EA48C20D3427}">
      <dgm:prSet/>
      <dgm:spPr/>
      <dgm:t>
        <a:bodyPr/>
        <a:lstStyle/>
        <a:p>
          <a:endParaRPr lang="en-ID"/>
        </a:p>
      </dgm:t>
    </dgm:pt>
    <dgm:pt modelId="{3AF6A73A-9C3F-49F3-AE94-7112F8723876}" type="sibTrans" cxnId="{628ECE6C-7A91-4983-A2D2-EA48C20D3427}">
      <dgm:prSet/>
      <dgm:spPr/>
      <dgm:t>
        <a:bodyPr/>
        <a:lstStyle/>
        <a:p>
          <a:endParaRPr lang="en-ID"/>
        </a:p>
      </dgm:t>
    </dgm:pt>
    <dgm:pt modelId="{356A6D32-AA62-49B3-86AF-07F882CD3ABD}">
      <dgm:prSet phldrT="[Text]" custT="1"/>
      <dgm:spPr/>
      <dgm:t>
        <a:bodyPr/>
        <a:lstStyle/>
        <a:p>
          <a:r>
            <a:rPr lang="en-ID" sz="1100"/>
            <a:t>Laporan Uang Muka Kegiatan</a:t>
          </a:r>
        </a:p>
      </dgm:t>
    </dgm:pt>
    <dgm:pt modelId="{7E34D725-4703-4D8C-917C-97EA4845BA00}" type="parTrans" cxnId="{6C2FBAA2-771C-4350-9374-EB2DE265D639}">
      <dgm:prSet/>
      <dgm:spPr/>
      <dgm:t>
        <a:bodyPr/>
        <a:lstStyle/>
        <a:p>
          <a:endParaRPr lang="en-ID"/>
        </a:p>
      </dgm:t>
    </dgm:pt>
    <dgm:pt modelId="{117D56F0-082D-4ADD-9B39-E2D26B5CDA2C}" type="sibTrans" cxnId="{6C2FBAA2-771C-4350-9374-EB2DE265D639}">
      <dgm:prSet/>
      <dgm:spPr/>
      <dgm:t>
        <a:bodyPr/>
        <a:lstStyle/>
        <a:p>
          <a:endParaRPr lang="en-ID"/>
        </a:p>
      </dgm:t>
    </dgm:pt>
    <dgm:pt modelId="{1E9B51C4-982F-4D91-9B33-998628E6A0E0}">
      <dgm:prSet phldrT="[Text]" custT="1"/>
      <dgm:spPr/>
      <dgm:t>
        <a:bodyPr/>
        <a:lstStyle/>
        <a:p>
          <a:r>
            <a:rPr lang="en-ID" sz="1100"/>
            <a:t>Realisasi Uang Muka kegiatan</a:t>
          </a:r>
        </a:p>
      </dgm:t>
    </dgm:pt>
    <dgm:pt modelId="{3CFF49C8-47B1-420B-B96E-33DB5545E5FF}" type="parTrans" cxnId="{F00263E4-5334-4344-8F36-5253DE45BC03}">
      <dgm:prSet/>
      <dgm:spPr/>
      <dgm:t>
        <a:bodyPr/>
        <a:lstStyle/>
        <a:p>
          <a:endParaRPr lang="en-ID"/>
        </a:p>
      </dgm:t>
    </dgm:pt>
    <dgm:pt modelId="{BBBC5D9A-BBA3-4BAD-883D-3B5D24C41ADB}" type="sibTrans" cxnId="{F00263E4-5334-4344-8F36-5253DE45BC03}">
      <dgm:prSet/>
      <dgm:spPr/>
      <dgm:t>
        <a:bodyPr/>
        <a:lstStyle/>
        <a:p>
          <a:endParaRPr lang="en-ID"/>
        </a:p>
      </dgm:t>
    </dgm:pt>
    <dgm:pt modelId="{BE6A894E-7404-4090-83EA-BA7F053F08BD}" type="pres">
      <dgm:prSet presAssocID="{21E5FF78-C5F1-4531-BF86-67DF42A8D2F9}" presName="rootnode" presStyleCnt="0">
        <dgm:presLayoutVars>
          <dgm:chMax/>
          <dgm:chPref/>
          <dgm:dir/>
          <dgm:animLvl val="lvl"/>
        </dgm:presLayoutVars>
      </dgm:prSet>
      <dgm:spPr/>
    </dgm:pt>
    <dgm:pt modelId="{71E83E6F-6B49-42BA-8F05-133B62344D63}" type="pres">
      <dgm:prSet presAssocID="{9161DB59-63C3-4454-9DB4-0C022940DF73}" presName="composite" presStyleCnt="0"/>
      <dgm:spPr/>
    </dgm:pt>
    <dgm:pt modelId="{CC4E3111-BF38-4B3A-BAAC-64B38C979363}" type="pres">
      <dgm:prSet presAssocID="{9161DB59-63C3-4454-9DB4-0C022940DF73}" presName="bentUpArrow1" presStyleLbl="alignImgPlace1" presStyleIdx="0" presStyleCnt="3"/>
      <dgm:spPr/>
    </dgm:pt>
    <dgm:pt modelId="{63DC4924-6F47-4A76-B553-7976A2727367}" type="pres">
      <dgm:prSet presAssocID="{9161DB59-63C3-4454-9DB4-0C022940DF73}" presName="ParentText" presStyleLbl="node1" presStyleIdx="0" presStyleCnt="4">
        <dgm:presLayoutVars>
          <dgm:chMax val="1"/>
          <dgm:chPref val="1"/>
          <dgm:bulletEnabled val="1"/>
        </dgm:presLayoutVars>
      </dgm:prSet>
      <dgm:spPr/>
    </dgm:pt>
    <dgm:pt modelId="{BD04C81A-9CAD-4103-B99B-4940D3E4A237}" type="pres">
      <dgm:prSet presAssocID="{9161DB59-63C3-4454-9DB4-0C022940DF73}" presName="ChildText" presStyleLbl="revTx" presStyleIdx="0" presStyleCnt="4" custScaleX="251216" custLinFactNeighborX="79443" custLinFactNeighborY="7200">
        <dgm:presLayoutVars>
          <dgm:chMax val="0"/>
          <dgm:chPref val="0"/>
          <dgm:bulletEnabled val="1"/>
        </dgm:presLayoutVars>
      </dgm:prSet>
      <dgm:spPr/>
    </dgm:pt>
    <dgm:pt modelId="{E0F8EAEB-EA57-49F9-8484-C0FB91DC03DB}" type="pres">
      <dgm:prSet presAssocID="{FC22CECD-CCB7-4A75-A974-3D99D6E09603}" presName="sibTrans" presStyleCnt="0"/>
      <dgm:spPr/>
    </dgm:pt>
    <dgm:pt modelId="{33CFA231-61CA-492B-9DD0-FDF67BCBC3F6}" type="pres">
      <dgm:prSet presAssocID="{03FCEE51-BAF3-47EC-9A1F-AEE4C3DF041F}" presName="composite" presStyleCnt="0"/>
      <dgm:spPr/>
    </dgm:pt>
    <dgm:pt modelId="{7F5FC65E-5865-46DD-957C-C1AE84619927}" type="pres">
      <dgm:prSet presAssocID="{03FCEE51-BAF3-47EC-9A1F-AEE4C3DF041F}" presName="bentUpArrow1" presStyleLbl="alignImgPlace1" presStyleIdx="1" presStyleCnt="3"/>
      <dgm:spPr/>
    </dgm:pt>
    <dgm:pt modelId="{5C509E50-280B-41F4-BCD8-D09FE8E8706E}" type="pres">
      <dgm:prSet presAssocID="{03FCEE51-BAF3-47EC-9A1F-AEE4C3DF041F}" presName="ParentText" presStyleLbl="node1" presStyleIdx="1" presStyleCnt="4">
        <dgm:presLayoutVars>
          <dgm:chMax val="1"/>
          <dgm:chPref val="1"/>
          <dgm:bulletEnabled val="1"/>
        </dgm:presLayoutVars>
      </dgm:prSet>
      <dgm:spPr/>
    </dgm:pt>
    <dgm:pt modelId="{34029168-87D0-4D25-AA6E-85163071008B}" type="pres">
      <dgm:prSet presAssocID="{03FCEE51-BAF3-47EC-9A1F-AEE4C3DF041F}" presName="ChildText" presStyleLbl="revTx" presStyleIdx="1" presStyleCnt="4" custScaleX="285649" custScaleY="92310" custLinFactNeighborX="99142" custLinFactNeighborY="3140">
        <dgm:presLayoutVars>
          <dgm:chMax val="0"/>
          <dgm:chPref val="0"/>
          <dgm:bulletEnabled val="1"/>
        </dgm:presLayoutVars>
      </dgm:prSet>
      <dgm:spPr/>
    </dgm:pt>
    <dgm:pt modelId="{31929A7C-5A0C-4FA5-9033-E82A2D1D331B}" type="pres">
      <dgm:prSet presAssocID="{C6FDD8CE-14C7-4837-B550-B546E7A9104C}" presName="sibTrans" presStyleCnt="0"/>
      <dgm:spPr/>
    </dgm:pt>
    <dgm:pt modelId="{9E675434-57BB-415B-A51C-88F1356B67AB}" type="pres">
      <dgm:prSet presAssocID="{13FEC997-F176-441D-94F4-3BE8626ECAB7}" presName="composite" presStyleCnt="0"/>
      <dgm:spPr/>
    </dgm:pt>
    <dgm:pt modelId="{A961EE99-0569-4AAA-80A3-F9367A300796}" type="pres">
      <dgm:prSet presAssocID="{13FEC997-F176-441D-94F4-3BE8626ECAB7}" presName="bentUpArrow1" presStyleLbl="alignImgPlace1" presStyleIdx="2" presStyleCnt="3" custLinFactNeighborX="-38133" custLinFactNeighborY="4824"/>
      <dgm:spPr/>
    </dgm:pt>
    <dgm:pt modelId="{72B32456-E922-4D19-B34F-65BFC11E3499}" type="pres">
      <dgm:prSet presAssocID="{13FEC997-F176-441D-94F4-3BE8626ECAB7}" presName="ParentText" presStyleLbl="node1" presStyleIdx="2" presStyleCnt="4" custLinFactNeighborX="-42981" custLinFactNeighborY="1024">
        <dgm:presLayoutVars>
          <dgm:chMax val="1"/>
          <dgm:chPref val="1"/>
          <dgm:bulletEnabled val="1"/>
        </dgm:presLayoutVars>
      </dgm:prSet>
      <dgm:spPr/>
    </dgm:pt>
    <dgm:pt modelId="{7B02CDD7-B3CC-4CBC-B51F-57E0BADC6FAE}" type="pres">
      <dgm:prSet presAssocID="{13FEC997-F176-441D-94F4-3BE8626ECAB7}" presName="ChildText" presStyleLbl="revTx" presStyleIdx="2" presStyleCnt="4" custScaleX="496570" custLinFactX="44787" custLinFactNeighborX="100000" custLinFactNeighborY="1267">
        <dgm:presLayoutVars>
          <dgm:chMax val="0"/>
          <dgm:chPref val="0"/>
          <dgm:bulletEnabled val="1"/>
        </dgm:presLayoutVars>
      </dgm:prSet>
      <dgm:spPr/>
    </dgm:pt>
    <dgm:pt modelId="{72010549-57C8-42D5-B3C4-934E9C038C1E}" type="pres">
      <dgm:prSet presAssocID="{2A48F3A1-E227-43E8-B6A9-7CC1DE851456}" presName="sibTrans" presStyleCnt="0"/>
      <dgm:spPr/>
    </dgm:pt>
    <dgm:pt modelId="{386A6F8C-E600-4661-AFB3-C95D74E88176}" type="pres">
      <dgm:prSet presAssocID="{9AF56DE9-3936-474C-B597-AB17B7265FAE}" presName="composite" presStyleCnt="0"/>
      <dgm:spPr/>
    </dgm:pt>
    <dgm:pt modelId="{F3F4D630-1A52-49E6-A4AB-6DC9F71E98A3}" type="pres">
      <dgm:prSet presAssocID="{9AF56DE9-3936-474C-B597-AB17B7265FAE}" presName="ParentText" presStyleLbl="node1" presStyleIdx="3" presStyleCnt="4" custLinFactNeighborX="-36534" custLinFactNeighborY="-1023">
        <dgm:presLayoutVars>
          <dgm:chMax val="1"/>
          <dgm:chPref val="1"/>
          <dgm:bulletEnabled val="1"/>
        </dgm:presLayoutVars>
      </dgm:prSet>
      <dgm:spPr/>
    </dgm:pt>
    <dgm:pt modelId="{ACABECAE-67FC-4322-A952-447826819FAD}" type="pres">
      <dgm:prSet presAssocID="{9AF56DE9-3936-474C-B597-AB17B7265FAE}" presName="FinalChildText" presStyleLbl="revTx" presStyleIdx="3" presStyleCnt="4" custScaleX="468108" custLinFactX="86886" custLinFactNeighborX="100000" custLinFactNeighborY="-326">
        <dgm:presLayoutVars>
          <dgm:chMax val="0"/>
          <dgm:chPref val="0"/>
          <dgm:bulletEnabled val="1"/>
        </dgm:presLayoutVars>
      </dgm:prSet>
      <dgm:spPr/>
    </dgm:pt>
  </dgm:ptLst>
  <dgm:cxnLst>
    <dgm:cxn modelId="{BABCD201-E716-4B56-B5ED-465D8F947CA4}" srcId="{9161DB59-63C3-4454-9DB4-0C022940DF73}" destId="{EDC56F68-C60A-4C3B-AEE3-ECC7B8740E1D}" srcOrd="1" destOrd="0" parTransId="{D762AB11-70D7-40E5-AA7E-C7582CA3BDC6}" sibTransId="{DCA9C6B5-2FD6-44F8-84B2-29163430E4A9}"/>
    <dgm:cxn modelId="{7E01882A-85B0-4EAA-B149-7F1EFBA4E1C2}" type="presOf" srcId="{EDC56F68-C60A-4C3B-AEE3-ECC7B8740E1D}" destId="{BD04C81A-9CAD-4103-B99B-4940D3E4A237}" srcOrd="0" destOrd="1" presId="urn:microsoft.com/office/officeart/2005/8/layout/StepDownProcess"/>
    <dgm:cxn modelId="{117DF32C-3779-4C8D-B6C1-FFADA062F072}" type="presOf" srcId="{D1353E06-356A-476F-969E-2BFAA6C54BD1}" destId="{ACABECAE-67FC-4322-A952-447826819FAD}" srcOrd="0" destOrd="1" presId="urn:microsoft.com/office/officeart/2005/8/layout/StepDownProcess"/>
    <dgm:cxn modelId="{D87CD62E-9238-4D5D-A236-B45563D00885}" type="presOf" srcId="{13FEC997-F176-441D-94F4-3BE8626ECAB7}" destId="{72B32456-E922-4D19-B34F-65BFC11E3499}" srcOrd="0" destOrd="0" presId="urn:microsoft.com/office/officeart/2005/8/layout/StepDownProcess"/>
    <dgm:cxn modelId="{77745C5F-1EDF-4341-8F6F-59718CE41430}" srcId="{21E5FF78-C5F1-4531-BF86-67DF42A8D2F9}" destId="{13FEC997-F176-441D-94F4-3BE8626ECAB7}" srcOrd="2" destOrd="0" parTransId="{47D386E1-A94F-4B36-A987-EB84AD083AF1}" sibTransId="{2A48F3A1-E227-43E8-B6A9-7CC1DE851456}"/>
    <dgm:cxn modelId="{6FE22243-0EA0-417E-99A0-5C9810636DB1}" srcId="{21E5FF78-C5F1-4531-BF86-67DF42A8D2F9}" destId="{9161DB59-63C3-4454-9DB4-0C022940DF73}" srcOrd="0" destOrd="0" parTransId="{D17889B4-8F9C-451C-A344-88552EBA525A}" sibTransId="{FC22CECD-CCB7-4A75-A974-3D99D6E09603}"/>
    <dgm:cxn modelId="{7F294563-2A4A-427E-8AD2-C025F55E1F23}" srcId="{9AF56DE9-3936-474C-B597-AB17B7265FAE}" destId="{666F1BC0-4D86-4BC0-8703-7CD3CF3CD7C5}" srcOrd="0" destOrd="0" parTransId="{1FA8E101-68E5-48D5-934B-69A32A1C2532}" sibTransId="{E9BBEA81-10EF-45B1-9F45-DA36B8C609BE}"/>
    <dgm:cxn modelId="{628ECE6C-7A91-4983-A2D2-EA48C20D3427}" srcId="{13FEC997-F176-441D-94F4-3BE8626ECAB7}" destId="{5273CFBA-914C-473A-B52A-8E9A50FC375B}" srcOrd="2" destOrd="0" parTransId="{373A5580-E1B3-4B89-B077-8D2FEA9DAF9D}" sibTransId="{3AF6A73A-9C3F-49F3-AE94-7112F8723876}"/>
    <dgm:cxn modelId="{3353A754-81B8-41E2-B808-FDE205A91BC0}" srcId="{03FCEE51-BAF3-47EC-9A1F-AEE4C3DF041F}" destId="{722AB4B7-19BB-4E8F-A54D-7E1DCF0F208B}" srcOrd="1" destOrd="0" parTransId="{2FA3C9C8-2D71-437B-82AA-AF9EFC56BB0D}" sibTransId="{6509F2E6-01A6-4D33-A2EE-6F48C568695D}"/>
    <dgm:cxn modelId="{7E0AD554-5197-47A1-BF6C-C9E60FD714C4}" srcId="{21E5FF78-C5F1-4531-BF86-67DF42A8D2F9}" destId="{9AF56DE9-3936-474C-B597-AB17B7265FAE}" srcOrd="3" destOrd="0" parTransId="{E7DDECFB-99F4-49FF-800F-B7B82F66BBF0}" sibTransId="{57E681A6-7E5D-4D33-AEA9-B4C9DDA6C2A6}"/>
    <dgm:cxn modelId="{85C7A058-0853-48D3-9F16-5333DC64FCE6}" type="presOf" srcId="{1E9B51C4-982F-4D91-9B33-998628E6A0E0}" destId="{7B02CDD7-B3CC-4CBC-B51F-57E0BADC6FAE}" srcOrd="0" destOrd="1" presId="urn:microsoft.com/office/officeart/2005/8/layout/StepDownProcess"/>
    <dgm:cxn modelId="{2EDF207B-1959-4409-B998-EB94491487E6}" srcId="{21E5FF78-C5F1-4531-BF86-67DF42A8D2F9}" destId="{03FCEE51-BAF3-47EC-9A1F-AEE4C3DF041F}" srcOrd="1" destOrd="0" parTransId="{43711402-2292-4A0C-88D0-333269966599}" sibTransId="{C6FDD8CE-14C7-4837-B550-B546E7A9104C}"/>
    <dgm:cxn modelId="{6679837B-D6C0-4AB0-97B9-2FEA20DF7B0F}" type="presOf" srcId="{9161DB59-63C3-4454-9DB4-0C022940DF73}" destId="{63DC4924-6F47-4A76-B553-7976A2727367}" srcOrd="0" destOrd="0" presId="urn:microsoft.com/office/officeart/2005/8/layout/StepDownProcess"/>
    <dgm:cxn modelId="{6C2FBAA2-771C-4350-9374-EB2DE265D639}" srcId="{9AF56DE9-3936-474C-B597-AB17B7265FAE}" destId="{356A6D32-AA62-49B3-86AF-07F882CD3ABD}" srcOrd="3" destOrd="0" parTransId="{7E34D725-4703-4D8C-917C-97EA4845BA00}" sibTransId="{117D56F0-082D-4ADD-9B39-E2D26B5CDA2C}"/>
    <dgm:cxn modelId="{2FBCCAA8-019F-46CD-B37A-8EC78C2859C9}" type="presOf" srcId="{503BF4A8-4E89-42F5-939C-2DF1B0401C3E}" destId="{ACABECAE-67FC-4322-A952-447826819FAD}" srcOrd="0" destOrd="2" presId="urn:microsoft.com/office/officeart/2005/8/layout/StepDownProcess"/>
    <dgm:cxn modelId="{381718A9-1B18-4418-BFD7-94D2EE0C74BA}" type="presOf" srcId="{356A6D32-AA62-49B3-86AF-07F882CD3ABD}" destId="{ACABECAE-67FC-4322-A952-447826819FAD}" srcOrd="0" destOrd="3" presId="urn:microsoft.com/office/officeart/2005/8/layout/StepDownProcess"/>
    <dgm:cxn modelId="{B977C6A9-C239-4B24-BFFC-8E7B0409AA9E}" type="presOf" srcId="{722AB4B7-19BB-4E8F-A54D-7E1DCF0F208B}" destId="{34029168-87D0-4D25-AA6E-85163071008B}" srcOrd="0" destOrd="1" presId="urn:microsoft.com/office/officeart/2005/8/layout/StepDownProcess"/>
    <dgm:cxn modelId="{71DA03AC-88D0-4411-A287-7A767BA9A1AE}" type="presOf" srcId="{5EF142D6-835C-4719-AB76-B51C2D1D1E1D}" destId="{34029168-87D0-4D25-AA6E-85163071008B}" srcOrd="0" destOrd="0" presId="urn:microsoft.com/office/officeart/2005/8/layout/StepDownProcess"/>
    <dgm:cxn modelId="{6CFDAFAC-D8A7-4005-A5CE-E9833BE352F7}" srcId="{9AF56DE9-3936-474C-B597-AB17B7265FAE}" destId="{503BF4A8-4E89-42F5-939C-2DF1B0401C3E}" srcOrd="2" destOrd="0" parTransId="{10254DA3-FDFD-494C-A73F-77DE27263C52}" sibTransId="{59088CE5-E5DB-495F-B071-66702F404EED}"/>
    <dgm:cxn modelId="{CCB9D8AC-8748-4E64-831A-A5C7E94EAB17}" type="presOf" srcId="{9AF56DE9-3936-474C-B597-AB17B7265FAE}" destId="{F3F4D630-1A52-49E6-A4AB-6DC9F71E98A3}" srcOrd="0" destOrd="0" presId="urn:microsoft.com/office/officeart/2005/8/layout/StepDownProcess"/>
    <dgm:cxn modelId="{D0DA65CC-0AA8-453C-B1A3-92CFFC4B26B1}" srcId="{13FEC997-F176-441D-94F4-3BE8626ECAB7}" destId="{11666DAD-B551-47AD-B823-F457837E200D}" srcOrd="0" destOrd="0" parTransId="{90329BD5-E977-45A2-AE86-91E93B62175A}" sibTransId="{5FE63AAF-89FE-4903-98A9-C94B1FCC947D}"/>
    <dgm:cxn modelId="{1B1320D3-4A4F-4D64-9D6C-96F8198C5309}" type="presOf" srcId="{11666DAD-B551-47AD-B823-F457837E200D}" destId="{7B02CDD7-B3CC-4CBC-B51F-57E0BADC6FAE}" srcOrd="0" destOrd="0" presId="urn:microsoft.com/office/officeart/2005/8/layout/StepDownProcess"/>
    <dgm:cxn modelId="{FF7C3BD8-7628-4F25-A091-4AC6B0FEA08B}" type="presOf" srcId="{33F9AAA3-37B3-4568-9556-342C6E430700}" destId="{BD04C81A-9CAD-4103-B99B-4940D3E4A237}" srcOrd="0" destOrd="0" presId="urn:microsoft.com/office/officeart/2005/8/layout/StepDownProcess"/>
    <dgm:cxn modelId="{5B8303DB-29FA-4C8E-B209-021134C762C8}" type="presOf" srcId="{5273CFBA-914C-473A-B52A-8E9A50FC375B}" destId="{7B02CDD7-B3CC-4CBC-B51F-57E0BADC6FAE}" srcOrd="0" destOrd="2" presId="urn:microsoft.com/office/officeart/2005/8/layout/StepDownProcess"/>
    <dgm:cxn modelId="{F00263E4-5334-4344-8F36-5253DE45BC03}" srcId="{13FEC997-F176-441D-94F4-3BE8626ECAB7}" destId="{1E9B51C4-982F-4D91-9B33-998628E6A0E0}" srcOrd="1" destOrd="0" parTransId="{3CFF49C8-47B1-420B-B96E-33DB5545E5FF}" sibTransId="{BBBC5D9A-BBA3-4BAD-883D-3B5D24C41ADB}"/>
    <dgm:cxn modelId="{714BB9F2-C5FC-40F2-8BD5-77ED2F4AB507}" srcId="{9161DB59-63C3-4454-9DB4-0C022940DF73}" destId="{33F9AAA3-37B3-4568-9556-342C6E430700}" srcOrd="0" destOrd="0" parTransId="{62D0D768-4A31-49F2-8D45-3A6E31461A4E}" sibTransId="{B5B71B60-4F1C-43CF-AB87-87D82D9FC587}"/>
    <dgm:cxn modelId="{A084D4F4-D42F-4A82-B4D8-E2D69F8594C9}" type="presOf" srcId="{666F1BC0-4D86-4BC0-8703-7CD3CF3CD7C5}" destId="{ACABECAE-67FC-4322-A952-447826819FAD}" srcOrd="0" destOrd="0" presId="urn:microsoft.com/office/officeart/2005/8/layout/StepDownProcess"/>
    <dgm:cxn modelId="{287618F9-A381-491F-A4EF-425F219B85DA}" type="presOf" srcId="{21E5FF78-C5F1-4531-BF86-67DF42A8D2F9}" destId="{BE6A894E-7404-4090-83EA-BA7F053F08BD}" srcOrd="0" destOrd="0" presId="urn:microsoft.com/office/officeart/2005/8/layout/StepDownProcess"/>
    <dgm:cxn modelId="{CE03A0F9-6946-4E89-9E76-D4A3FFE4D6DB}" srcId="{9AF56DE9-3936-474C-B597-AB17B7265FAE}" destId="{D1353E06-356A-476F-969E-2BFAA6C54BD1}" srcOrd="1" destOrd="0" parTransId="{82C3D766-F7F0-45E4-AB44-D9AB441F9EC8}" sibTransId="{E87301B5-6DE4-4A06-8A92-8C170116CE05}"/>
    <dgm:cxn modelId="{6C0A0FFA-C5F0-49EC-877C-11964DBCBFFF}" type="presOf" srcId="{03FCEE51-BAF3-47EC-9A1F-AEE4C3DF041F}" destId="{5C509E50-280B-41F4-BCD8-D09FE8E8706E}" srcOrd="0" destOrd="0" presId="urn:microsoft.com/office/officeart/2005/8/layout/StepDownProcess"/>
    <dgm:cxn modelId="{174C29FB-B9A9-4E32-8EC4-95BEB902E70B}" srcId="{03FCEE51-BAF3-47EC-9A1F-AEE4C3DF041F}" destId="{5EF142D6-835C-4719-AB76-B51C2D1D1E1D}" srcOrd="0" destOrd="0" parTransId="{D39AE6FD-9A15-41CC-9B9A-FBB3E1FA44A1}" sibTransId="{35D07790-133B-415A-BCA1-A139708C12D5}"/>
    <dgm:cxn modelId="{3E3E1726-700C-4113-B4A4-620F95986F5E}" type="presParOf" srcId="{BE6A894E-7404-4090-83EA-BA7F053F08BD}" destId="{71E83E6F-6B49-42BA-8F05-133B62344D63}" srcOrd="0" destOrd="0" presId="urn:microsoft.com/office/officeart/2005/8/layout/StepDownProcess"/>
    <dgm:cxn modelId="{194D12B7-4218-434E-8937-74ED20D935D3}" type="presParOf" srcId="{71E83E6F-6B49-42BA-8F05-133B62344D63}" destId="{CC4E3111-BF38-4B3A-BAAC-64B38C979363}" srcOrd="0" destOrd="0" presId="urn:microsoft.com/office/officeart/2005/8/layout/StepDownProcess"/>
    <dgm:cxn modelId="{B0C0655A-E3D5-4057-9E49-E13E0E174044}" type="presParOf" srcId="{71E83E6F-6B49-42BA-8F05-133B62344D63}" destId="{63DC4924-6F47-4A76-B553-7976A2727367}" srcOrd="1" destOrd="0" presId="urn:microsoft.com/office/officeart/2005/8/layout/StepDownProcess"/>
    <dgm:cxn modelId="{EF0D7164-61B8-4FD4-BCF8-ECB90F7B0368}" type="presParOf" srcId="{71E83E6F-6B49-42BA-8F05-133B62344D63}" destId="{BD04C81A-9CAD-4103-B99B-4940D3E4A237}" srcOrd="2" destOrd="0" presId="urn:microsoft.com/office/officeart/2005/8/layout/StepDownProcess"/>
    <dgm:cxn modelId="{767CF10A-31F4-46EE-9767-FC7EC099A7A1}" type="presParOf" srcId="{BE6A894E-7404-4090-83EA-BA7F053F08BD}" destId="{E0F8EAEB-EA57-49F9-8484-C0FB91DC03DB}" srcOrd="1" destOrd="0" presId="urn:microsoft.com/office/officeart/2005/8/layout/StepDownProcess"/>
    <dgm:cxn modelId="{95ACE9E3-4083-40F7-A829-5F2FD307BFA1}" type="presParOf" srcId="{BE6A894E-7404-4090-83EA-BA7F053F08BD}" destId="{33CFA231-61CA-492B-9DD0-FDF67BCBC3F6}" srcOrd="2" destOrd="0" presId="urn:microsoft.com/office/officeart/2005/8/layout/StepDownProcess"/>
    <dgm:cxn modelId="{6C1463ED-2E30-44BC-BFD9-A4D32A154D12}" type="presParOf" srcId="{33CFA231-61CA-492B-9DD0-FDF67BCBC3F6}" destId="{7F5FC65E-5865-46DD-957C-C1AE84619927}" srcOrd="0" destOrd="0" presId="urn:microsoft.com/office/officeart/2005/8/layout/StepDownProcess"/>
    <dgm:cxn modelId="{1508BF69-32DB-40C4-9F0F-18DB4E6DDB1E}" type="presParOf" srcId="{33CFA231-61CA-492B-9DD0-FDF67BCBC3F6}" destId="{5C509E50-280B-41F4-BCD8-D09FE8E8706E}" srcOrd="1" destOrd="0" presId="urn:microsoft.com/office/officeart/2005/8/layout/StepDownProcess"/>
    <dgm:cxn modelId="{B7E7661E-B257-4BBD-8990-36C9BDF12315}" type="presParOf" srcId="{33CFA231-61CA-492B-9DD0-FDF67BCBC3F6}" destId="{34029168-87D0-4D25-AA6E-85163071008B}" srcOrd="2" destOrd="0" presId="urn:microsoft.com/office/officeart/2005/8/layout/StepDownProcess"/>
    <dgm:cxn modelId="{98F78317-AADC-44F1-AC43-706EEBA5EC36}" type="presParOf" srcId="{BE6A894E-7404-4090-83EA-BA7F053F08BD}" destId="{31929A7C-5A0C-4FA5-9033-E82A2D1D331B}" srcOrd="3" destOrd="0" presId="urn:microsoft.com/office/officeart/2005/8/layout/StepDownProcess"/>
    <dgm:cxn modelId="{6A94A4B6-573B-4D77-BC7F-A6B3F57A3EC2}" type="presParOf" srcId="{BE6A894E-7404-4090-83EA-BA7F053F08BD}" destId="{9E675434-57BB-415B-A51C-88F1356B67AB}" srcOrd="4" destOrd="0" presId="urn:microsoft.com/office/officeart/2005/8/layout/StepDownProcess"/>
    <dgm:cxn modelId="{AF68B5F6-F61C-44E3-B898-E4B79AF397AD}" type="presParOf" srcId="{9E675434-57BB-415B-A51C-88F1356B67AB}" destId="{A961EE99-0569-4AAA-80A3-F9367A300796}" srcOrd="0" destOrd="0" presId="urn:microsoft.com/office/officeart/2005/8/layout/StepDownProcess"/>
    <dgm:cxn modelId="{B06CBBA3-B2B2-4910-AC52-2BB3D81ACB3D}" type="presParOf" srcId="{9E675434-57BB-415B-A51C-88F1356B67AB}" destId="{72B32456-E922-4D19-B34F-65BFC11E3499}" srcOrd="1" destOrd="0" presId="urn:microsoft.com/office/officeart/2005/8/layout/StepDownProcess"/>
    <dgm:cxn modelId="{A12525F4-6082-46E9-B54E-42127DE4E19B}" type="presParOf" srcId="{9E675434-57BB-415B-A51C-88F1356B67AB}" destId="{7B02CDD7-B3CC-4CBC-B51F-57E0BADC6FAE}" srcOrd="2" destOrd="0" presId="urn:microsoft.com/office/officeart/2005/8/layout/StepDownProcess"/>
    <dgm:cxn modelId="{AFBFC1CC-F57B-4532-B3DD-5E6820B34863}" type="presParOf" srcId="{BE6A894E-7404-4090-83EA-BA7F053F08BD}" destId="{72010549-57C8-42D5-B3C4-934E9C038C1E}" srcOrd="5" destOrd="0" presId="urn:microsoft.com/office/officeart/2005/8/layout/StepDownProcess"/>
    <dgm:cxn modelId="{0A507F05-7EC9-4CF7-B2CE-86D9158FC277}" type="presParOf" srcId="{BE6A894E-7404-4090-83EA-BA7F053F08BD}" destId="{386A6F8C-E600-4661-AFB3-C95D74E88176}" srcOrd="6" destOrd="0" presId="urn:microsoft.com/office/officeart/2005/8/layout/StepDownProcess"/>
    <dgm:cxn modelId="{0E695897-F33C-44FE-A433-91B2E0738B97}" type="presParOf" srcId="{386A6F8C-E600-4661-AFB3-C95D74E88176}" destId="{F3F4D630-1A52-49E6-A4AB-6DC9F71E98A3}" srcOrd="0" destOrd="0" presId="urn:microsoft.com/office/officeart/2005/8/layout/StepDownProcess"/>
    <dgm:cxn modelId="{A72ACE1E-F548-4642-AA7B-EEF45FFFCD83}" type="presParOf" srcId="{386A6F8C-E600-4661-AFB3-C95D74E88176}" destId="{ACABECAE-67FC-4322-A952-447826819FAD}" srcOrd="1" destOrd="0" presId="urn:microsoft.com/office/officeart/2005/8/layout/StepDownProcess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4023B85C-EF29-4DE0-8FA4-DB2E06CE1337}" type="doc">
      <dgm:prSet loTypeId="urn:microsoft.com/office/officeart/2005/8/layout/vList2" loCatId="list" qsTypeId="urn:microsoft.com/office/officeart/2005/8/quickstyle/simple1" qsCatId="simple" csTypeId="urn:microsoft.com/office/officeart/2005/8/colors/colorful4" csCatId="colorful" phldr="1"/>
      <dgm:spPr/>
      <dgm:t>
        <a:bodyPr/>
        <a:lstStyle/>
        <a:p>
          <a:endParaRPr lang="en-ID"/>
        </a:p>
      </dgm:t>
    </dgm:pt>
    <dgm:pt modelId="{BEBB03BA-2A49-4888-9BE1-CF81D77651C4}">
      <dgm:prSet phldrT="[Text]"/>
      <dgm:spPr/>
      <dgm:t>
        <a:bodyPr/>
        <a:lstStyle/>
        <a:p>
          <a:r>
            <a:rPr lang="en-ID"/>
            <a:t>DASHBOARD</a:t>
          </a:r>
        </a:p>
      </dgm:t>
    </dgm:pt>
    <dgm:pt modelId="{A8802D6A-D433-4D20-AA81-A4F8D4F10FA6}" type="parTrans" cxnId="{B1C6C3FD-1230-4523-A948-A3927FEFC34E}">
      <dgm:prSet/>
      <dgm:spPr/>
      <dgm:t>
        <a:bodyPr/>
        <a:lstStyle/>
        <a:p>
          <a:endParaRPr lang="en-ID"/>
        </a:p>
      </dgm:t>
    </dgm:pt>
    <dgm:pt modelId="{08C31ECF-16A7-41C9-8EA5-43493E437BC7}" type="sibTrans" cxnId="{B1C6C3FD-1230-4523-A948-A3927FEFC34E}">
      <dgm:prSet/>
      <dgm:spPr/>
      <dgm:t>
        <a:bodyPr/>
        <a:lstStyle/>
        <a:p>
          <a:endParaRPr lang="en-ID"/>
        </a:p>
      </dgm:t>
    </dgm:pt>
    <dgm:pt modelId="{918661B6-C1C6-4EA7-99D9-049EFCBB21D6}">
      <dgm:prSet phldrT="[Text]"/>
      <dgm:spPr/>
      <dgm:t>
        <a:bodyPr/>
        <a:lstStyle/>
        <a:p>
          <a:r>
            <a:rPr lang="en-ID"/>
            <a:t>Saldo Kas</a:t>
          </a:r>
        </a:p>
      </dgm:t>
    </dgm:pt>
    <dgm:pt modelId="{983182D9-0848-4037-A273-906D270D307D}" type="parTrans" cxnId="{18D4BFAA-5593-4F2D-9E39-CC98F9EE40EE}">
      <dgm:prSet/>
      <dgm:spPr/>
      <dgm:t>
        <a:bodyPr/>
        <a:lstStyle/>
        <a:p>
          <a:endParaRPr lang="en-ID"/>
        </a:p>
      </dgm:t>
    </dgm:pt>
    <dgm:pt modelId="{4FC750DA-E158-4865-8CF9-0A1D7F4EA85D}" type="sibTrans" cxnId="{18D4BFAA-5593-4F2D-9E39-CC98F9EE40EE}">
      <dgm:prSet/>
      <dgm:spPr/>
      <dgm:t>
        <a:bodyPr/>
        <a:lstStyle/>
        <a:p>
          <a:endParaRPr lang="en-ID"/>
        </a:p>
      </dgm:t>
    </dgm:pt>
    <dgm:pt modelId="{7BB0AA9B-21B5-42D8-9681-69E7920EFDCA}">
      <dgm:prSet phldrT="[Text]"/>
      <dgm:spPr/>
      <dgm:t>
        <a:bodyPr/>
        <a:lstStyle/>
        <a:p>
          <a:r>
            <a:rPr lang="en-ID"/>
            <a:t>PENGELUARAN</a:t>
          </a:r>
        </a:p>
      </dgm:t>
    </dgm:pt>
    <dgm:pt modelId="{3A5929DB-F8F9-4B18-A244-214326D8AB5E}" type="parTrans" cxnId="{D9DED5B1-FE73-43C2-81CC-4219484C6B19}">
      <dgm:prSet/>
      <dgm:spPr/>
      <dgm:t>
        <a:bodyPr/>
        <a:lstStyle/>
        <a:p>
          <a:endParaRPr lang="en-ID"/>
        </a:p>
      </dgm:t>
    </dgm:pt>
    <dgm:pt modelId="{866CCF28-07AB-4D56-8D87-8C2D09878B4D}" type="sibTrans" cxnId="{D9DED5B1-FE73-43C2-81CC-4219484C6B19}">
      <dgm:prSet/>
      <dgm:spPr/>
      <dgm:t>
        <a:bodyPr/>
        <a:lstStyle/>
        <a:p>
          <a:endParaRPr lang="en-ID"/>
        </a:p>
      </dgm:t>
    </dgm:pt>
    <dgm:pt modelId="{D7AE2192-8841-4768-BDB4-64C18E0884D6}">
      <dgm:prSet phldrT="[Text]"/>
      <dgm:spPr/>
      <dgm:t>
        <a:bodyPr/>
        <a:lstStyle/>
        <a:p>
          <a:r>
            <a:rPr lang="en-ID"/>
            <a:t>Kas Kecil</a:t>
          </a:r>
        </a:p>
      </dgm:t>
    </dgm:pt>
    <dgm:pt modelId="{DF0ADFC7-2802-48CF-B083-8F166FF8DA0F}" type="parTrans" cxnId="{464DD76E-2B04-4D11-B9DF-D71671710DAE}">
      <dgm:prSet/>
      <dgm:spPr/>
      <dgm:t>
        <a:bodyPr/>
        <a:lstStyle/>
        <a:p>
          <a:endParaRPr lang="en-ID"/>
        </a:p>
      </dgm:t>
    </dgm:pt>
    <dgm:pt modelId="{8E81FA17-CA6A-432F-AADD-859E824CD186}" type="sibTrans" cxnId="{464DD76E-2B04-4D11-B9DF-D71671710DAE}">
      <dgm:prSet/>
      <dgm:spPr/>
      <dgm:t>
        <a:bodyPr/>
        <a:lstStyle/>
        <a:p>
          <a:endParaRPr lang="en-ID"/>
        </a:p>
      </dgm:t>
    </dgm:pt>
    <dgm:pt modelId="{920242DB-B749-4D70-ABFE-8771A782652C}">
      <dgm:prSet phldrT="[Text]"/>
      <dgm:spPr/>
      <dgm:t>
        <a:bodyPr/>
        <a:lstStyle/>
        <a:p>
          <a:r>
            <a:rPr lang="en-ID"/>
            <a:t>UANG MUKA KEGIATAN</a:t>
          </a:r>
        </a:p>
      </dgm:t>
    </dgm:pt>
    <dgm:pt modelId="{33C64273-0C3F-4AD4-A9B2-7091233491EB}" type="parTrans" cxnId="{DB42C798-9A9B-42EF-BFDF-7DFBEB969226}">
      <dgm:prSet/>
      <dgm:spPr/>
      <dgm:t>
        <a:bodyPr/>
        <a:lstStyle/>
        <a:p>
          <a:endParaRPr lang="en-ID"/>
        </a:p>
      </dgm:t>
    </dgm:pt>
    <dgm:pt modelId="{C72C8AF2-CB71-4452-AA31-25E7D295F920}" type="sibTrans" cxnId="{DB42C798-9A9B-42EF-BFDF-7DFBEB969226}">
      <dgm:prSet/>
      <dgm:spPr/>
      <dgm:t>
        <a:bodyPr/>
        <a:lstStyle/>
        <a:p>
          <a:endParaRPr lang="en-ID"/>
        </a:p>
      </dgm:t>
    </dgm:pt>
    <dgm:pt modelId="{4881258F-5D3A-4477-AFBE-63B84B5DD7A4}">
      <dgm:prSet phldrT="[Text]"/>
      <dgm:spPr/>
      <dgm:t>
        <a:bodyPr/>
        <a:lstStyle/>
        <a:p>
          <a:r>
            <a:rPr lang="en-ID"/>
            <a:t>REPORT</a:t>
          </a:r>
        </a:p>
      </dgm:t>
    </dgm:pt>
    <dgm:pt modelId="{18AE3E8F-B63B-4663-8E26-4085ADD262BB}" type="parTrans" cxnId="{D052019A-34C6-4E94-ACCE-6266C874BDBC}">
      <dgm:prSet/>
      <dgm:spPr/>
      <dgm:t>
        <a:bodyPr/>
        <a:lstStyle/>
        <a:p>
          <a:endParaRPr lang="en-ID"/>
        </a:p>
      </dgm:t>
    </dgm:pt>
    <dgm:pt modelId="{1FCC8C47-0335-4CD9-BD02-B5B41FFAA67C}" type="sibTrans" cxnId="{D052019A-34C6-4E94-ACCE-6266C874BDBC}">
      <dgm:prSet/>
      <dgm:spPr/>
      <dgm:t>
        <a:bodyPr/>
        <a:lstStyle/>
        <a:p>
          <a:endParaRPr lang="en-ID"/>
        </a:p>
      </dgm:t>
    </dgm:pt>
    <dgm:pt modelId="{1F201E2B-641E-4F18-BC23-313C1197A31C}">
      <dgm:prSet phldrT="[Text]"/>
      <dgm:spPr/>
      <dgm:t>
        <a:bodyPr/>
        <a:lstStyle/>
        <a:p>
          <a:r>
            <a:rPr lang="en-ID"/>
            <a:t>PENERIMAAN</a:t>
          </a:r>
        </a:p>
      </dgm:t>
    </dgm:pt>
    <dgm:pt modelId="{7D22842D-FECA-4B27-A6E5-739976736884}" type="parTrans" cxnId="{1C505408-167E-4C33-AC8C-B73C03A68BB6}">
      <dgm:prSet/>
      <dgm:spPr/>
      <dgm:t>
        <a:bodyPr/>
        <a:lstStyle/>
        <a:p>
          <a:endParaRPr lang="en-ID"/>
        </a:p>
      </dgm:t>
    </dgm:pt>
    <dgm:pt modelId="{82F048DD-6F0E-4004-9A63-D32F5D371A9E}" type="sibTrans" cxnId="{1C505408-167E-4C33-AC8C-B73C03A68BB6}">
      <dgm:prSet/>
      <dgm:spPr/>
      <dgm:t>
        <a:bodyPr/>
        <a:lstStyle/>
        <a:p>
          <a:endParaRPr lang="en-ID"/>
        </a:p>
      </dgm:t>
    </dgm:pt>
    <dgm:pt modelId="{82CC39B3-AF62-472B-A5D2-0B73DAD4AF65}">
      <dgm:prSet phldrT="[Text]"/>
      <dgm:spPr/>
      <dgm:t>
        <a:bodyPr/>
        <a:lstStyle/>
        <a:p>
          <a:r>
            <a:rPr lang="en-ID"/>
            <a:t>Saldo Bank</a:t>
          </a:r>
        </a:p>
      </dgm:t>
    </dgm:pt>
    <dgm:pt modelId="{7A43D358-0004-488E-997E-2931ED2586C6}" type="parTrans" cxnId="{1252CF18-ADEB-4B71-8854-998C2FA2F634}">
      <dgm:prSet/>
      <dgm:spPr/>
      <dgm:t>
        <a:bodyPr/>
        <a:lstStyle/>
        <a:p>
          <a:endParaRPr lang="en-ID"/>
        </a:p>
      </dgm:t>
    </dgm:pt>
    <dgm:pt modelId="{C8449FFA-EA0F-4588-B89D-159002451991}" type="sibTrans" cxnId="{1252CF18-ADEB-4B71-8854-998C2FA2F634}">
      <dgm:prSet/>
      <dgm:spPr/>
      <dgm:t>
        <a:bodyPr/>
        <a:lstStyle/>
        <a:p>
          <a:endParaRPr lang="en-ID"/>
        </a:p>
      </dgm:t>
    </dgm:pt>
    <dgm:pt modelId="{EBC17E40-CC9B-411B-A171-94BB00991171}">
      <dgm:prSet phldrT="[Text]"/>
      <dgm:spPr/>
      <dgm:t>
        <a:bodyPr/>
        <a:lstStyle/>
        <a:p>
          <a:r>
            <a:rPr lang="en-ID"/>
            <a:t>Penerimaan Bulan Ini</a:t>
          </a:r>
        </a:p>
      </dgm:t>
    </dgm:pt>
    <dgm:pt modelId="{0F2314A5-7B68-4433-972D-ECCD0E1AA34D}" type="parTrans" cxnId="{1A9DA089-8CBA-44F0-A38E-476146560922}">
      <dgm:prSet/>
      <dgm:spPr/>
      <dgm:t>
        <a:bodyPr/>
        <a:lstStyle/>
        <a:p>
          <a:endParaRPr lang="en-ID"/>
        </a:p>
      </dgm:t>
    </dgm:pt>
    <dgm:pt modelId="{D2320F47-7EAB-4C4C-A968-A578BDDEDDD2}" type="sibTrans" cxnId="{1A9DA089-8CBA-44F0-A38E-476146560922}">
      <dgm:prSet/>
      <dgm:spPr/>
      <dgm:t>
        <a:bodyPr/>
        <a:lstStyle/>
        <a:p>
          <a:endParaRPr lang="en-ID"/>
        </a:p>
      </dgm:t>
    </dgm:pt>
    <dgm:pt modelId="{EC7EB19D-9257-492F-B395-E06C6AAD80AE}">
      <dgm:prSet phldrT="[Text]"/>
      <dgm:spPr/>
      <dgm:t>
        <a:bodyPr/>
        <a:lstStyle/>
        <a:p>
          <a:r>
            <a:rPr lang="en-ID"/>
            <a:t>Pengeluaran Bulan Ini</a:t>
          </a:r>
        </a:p>
      </dgm:t>
    </dgm:pt>
    <dgm:pt modelId="{8E3B2D95-87A0-4834-A628-33F4D2FF33EC}" type="parTrans" cxnId="{66311122-7FA4-4DC3-A7D8-6E203973AFD1}">
      <dgm:prSet/>
      <dgm:spPr/>
      <dgm:t>
        <a:bodyPr/>
        <a:lstStyle/>
        <a:p>
          <a:endParaRPr lang="en-ID"/>
        </a:p>
      </dgm:t>
    </dgm:pt>
    <dgm:pt modelId="{3C4D5D5E-83C4-432D-9977-752690D2ABC8}" type="sibTrans" cxnId="{66311122-7FA4-4DC3-A7D8-6E203973AFD1}">
      <dgm:prSet/>
      <dgm:spPr/>
      <dgm:t>
        <a:bodyPr/>
        <a:lstStyle/>
        <a:p>
          <a:endParaRPr lang="en-ID"/>
        </a:p>
      </dgm:t>
    </dgm:pt>
    <dgm:pt modelId="{EF162D57-F579-4A8E-ACA8-DAE0ED3C8F8E}">
      <dgm:prSet phldrT="[Text]"/>
      <dgm:spPr/>
      <dgm:t>
        <a:bodyPr/>
        <a:lstStyle/>
        <a:p>
          <a:r>
            <a:rPr lang="en-ID"/>
            <a:t>Kas Kecil</a:t>
          </a:r>
        </a:p>
      </dgm:t>
    </dgm:pt>
    <dgm:pt modelId="{64C02E7C-38DB-48F7-A2C2-D81CC5BFE003}" type="parTrans" cxnId="{630C8CBD-1F5C-4096-BA19-5E32EE0E2747}">
      <dgm:prSet/>
      <dgm:spPr/>
      <dgm:t>
        <a:bodyPr/>
        <a:lstStyle/>
        <a:p>
          <a:endParaRPr lang="en-ID"/>
        </a:p>
      </dgm:t>
    </dgm:pt>
    <dgm:pt modelId="{C0F45F8D-0860-4D0C-9EA8-60BBA88832F5}" type="sibTrans" cxnId="{630C8CBD-1F5C-4096-BA19-5E32EE0E2747}">
      <dgm:prSet/>
      <dgm:spPr/>
      <dgm:t>
        <a:bodyPr/>
        <a:lstStyle/>
        <a:p>
          <a:endParaRPr lang="en-ID"/>
        </a:p>
      </dgm:t>
    </dgm:pt>
    <dgm:pt modelId="{971B7D68-EB21-4148-894E-024AFE52FEB5}">
      <dgm:prSet phldrT="[Text]"/>
      <dgm:spPr/>
      <dgm:t>
        <a:bodyPr/>
        <a:lstStyle/>
        <a:p>
          <a:r>
            <a:rPr lang="en-ID"/>
            <a:t>Bank</a:t>
          </a:r>
        </a:p>
      </dgm:t>
    </dgm:pt>
    <dgm:pt modelId="{CA5073ED-B5D7-4BD2-B50F-13099AE689FB}" type="parTrans" cxnId="{D8D7EE6E-A8BD-4F0C-90D9-8A1632FF9BA6}">
      <dgm:prSet/>
      <dgm:spPr/>
      <dgm:t>
        <a:bodyPr/>
        <a:lstStyle/>
        <a:p>
          <a:endParaRPr lang="en-ID"/>
        </a:p>
      </dgm:t>
    </dgm:pt>
    <dgm:pt modelId="{E33C94C8-0D54-4286-A45C-4165308AB553}" type="sibTrans" cxnId="{D8D7EE6E-A8BD-4F0C-90D9-8A1632FF9BA6}">
      <dgm:prSet/>
      <dgm:spPr/>
      <dgm:t>
        <a:bodyPr/>
        <a:lstStyle/>
        <a:p>
          <a:endParaRPr lang="en-ID"/>
        </a:p>
      </dgm:t>
    </dgm:pt>
    <dgm:pt modelId="{BDE5F0D8-5C84-43EA-92B5-D37B71D01ADA}">
      <dgm:prSet phldrT="[Text]"/>
      <dgm:spPr/>
      <dgm:t>
        <a:bodyPr/>
        <a:lstStyle/>
        <a:p>
          <a:r>
            <a:rPr lang="en-ID"/>
            <a:t>Bank</a:t>
          </a:r>
        </a:p>
      </dgm:t>
    </dgm:pt>
    <dgm:pt modelId="{062472F4-D665-4ED5-802C-2439C181CA26}" type="parTrans" cxnId="{D94EC642-EB33-47FE-B848-EA533F62ABB2}">
      <dgm:prSet/>
      <dgm:spPr/>
      <dgm:t>
        <a:bodyPr/>
        <a:lstStyle/>
        <a:p>
          <a:endParaRPr lang="en-ID"/>
        </a:p>
      </dgm:t>
    </dgm:pt>
    <dgm:pt modelId="{58F892A0-F6D5-4EF2-921B-1D14F7427FD6}" type="sibTrans" cxnId="{D94EC642-EB33-47FE-B848-EA533F62ABB2}">
      <dgm:prSet/>
      <dgm:spPr/>
      <dgm:t>
        <a:bodyPr/>
        <a:lstStyle/>
        <a:p>
          <a:endParaRPr lang="en-ID"/>
        </a:p>
      </dgm:t>
    </dgm:pt>
    <dgm:pt modelId="{0ED4ED55-0943-4FA3-9CAC-77D52B199156}">
      <dgm:prSet phldrT="[Text]"/>
      <dgm:spPr/>
      <dgm:t>
        <a:bodyPr/>
        <a:lstStyle/>
        <a:p>
          <a:r>
            <a:rPr lang="en-ID"/>
            <a:t>Pengajuan UMK</a:t>
          </a:r>
        </a:p>
      </dgm:t>
    </dgm:pt>
    <dgm:pt modelId="{FE674D64-F636-4426-B44C-E6E6785B501B}" type="parTrans" cxnId="{71273420-6C12-4CDD-B640-A184450FFF46}">
      <dgm:prSet/>
      <dgm:spPr/>
      <dgm:t>
        <a:bodyPr/>
        <a:lstStyle/>
        <a:p>
          <a:endParaRPr lang="en-ID"/>
        </a:p>
      </dgm:t>
    </dgm:pt>
    <dgm:pt modelId="{DAA7954E-390A-43AB-861B-275F67B32048}" type="sibTrans" cxnId="{71273420-6C12-4CDD-B640-A184450FFF46}">
      <dgm:prSet/>
      <dgm:spPr/>
      <dgm:t>
        <a:bodyPr/>
        <a:lstStyle/>
        <a:p>
          <a:endParaRPr lang="en-ID"/>
        </a:p>
      </dgm:t>
    </dgm:pt>
    <dgm:pt modelId="{6AB79CAD-4693-4A95-8D3F-B9A6D2D5BF99}">
      <dgm:prSet phldrT="[Text]"/>
      <dgm:spPr/>
      <dgm:t>
        <a:bodyPr/>
        <a:lstStyle/>
        <a:p>
          <a:r>
            <a:rPr lang="en-ID"/>
            <a:t>Realisasi UMK</a:t>
          </a:r>
        </a:p>
      </dgm:t>
    </dgm:pt>
    <dgm:pt modelId="{8E72F307-DFEE-475E-B473-F798BB473F3C}" type="parTrans" cxnId="{D34AA95D-F521-41FD-8F5D-7AD6C4B5E4F4}">
      <dgm:prSet/>
      <dgm:spPr/>
      <dgm:t>
        <a:bodyPr/>
        <a:lstStyle/>
        <a:p>
          <a:endParaRPr lang="en-ID"/>
        </a:p>
      </dgm:t>
    </dgm:pt>
    <dgm:pt modelId="{40728D69-0C43-4CA4-A97F-FC23F591F8B7}" type="sibTrans" cxnId="{D34AA95D-F521-41FD-8F5D-7AD6C4B5E4F4}">
      <dgm:prSet/>
      <dgm:spPr/>
      <dgm:t>
        <a:bodyPr/>
        <a:lstStyle/>
        <a:p>
          <a:endParaRPr lang="en-ID"/>
        </a:p>
      </dgm:t>
    </dgm:pt>
    <dgm:pt modelId="{714CB259-3694-4A3F-8C90-1574DEAD3375}">
      <dgm:prSet phldrT="[Text]"/>
      <dgm:spPr/>
      <dgm:t>
        <a:bodyPr/>
        <a:lstStyle/>
        <a:p>
          <a:r>
            <a:rPr lang="en-ID"/>
            <a:t>Laporan UMK</a:t>
          </a:r>
        </a:p>
      </dgm:t>
    </dgm:pt>
    <dgm:pt modelId="{4BE3F5D5-6891-49D2-8240-35298742CAF6}" type="parTrans" cxnId="{C90DF43B-DFD3-413E-BA92-82437FDA7AD1}">
      <dgm:prSet/>
      <dgm:spPr/>
      <dgm:t>
        <a:bodyPr/>
        <a:lstStyle/>
        <a:p>
          <a:endParaRPr lang="en-ID"/>
        </a:p>
      </dgm:t>
    </dgm:pt>
    <dgm:pt modelId="{B3FBA9E8-6EA2-4AEA-98AB-14BF98AC59E0}" type="sibTrans" cxnId="{C90DF43B-DFD3-413E-BA92-82437FDA7AD1}">
      <dgm:prSet/>
      <dgm:spPr/>
      <dgm:t>
        <a:bodyPr/>
        <a:lstStyle/>
        <a:p>
          <a:endParaRPr lang="en-ID"/>
        </a:p>
      </dgm:t>
    </dgm:pt>
    <dgm:pt modelId="{36F6B5CC-529A-4C4D-8A83-1D671A559255}">
      <dgm:prSet phldrT="[Text]"/>
      <dgm:spPr/>
      <dgm:t>
        <a:bodyPr/>
        <a:lstStyle/>
        <a:p>
          <a:r>
            <a:rPr lang="en-ID"/>
            <a:t>Cashflow Bulan Ini dan Periodik</a:t>
          </a:r>
        </a:p>
      </dgm:t>
    </dgm:pt>
    <dgm:pt modelId="{5E52B370-0890-4C35-9DF0-D6944092B3A5}" type="parTrans" cxnId="{97021DAC-61E0-4AE4-885D-7D76BC3B61E7}">
      <dgm:prSet/>
      <dgm:spPr/>
      <dgm:t>
        <a:bodyPr/>
        <a:lstStyle/>
        <a:p>
          <a:endParaRPr lang="en-ID"/>
        </a:p>
      </dgm:t>
    </dgm:pt>
    <dgm:pt modelId="{BFB7C17A-EE66-40EB-BA9D-DD752D10478F}" type="sibTrans" cxnId="{97021DAC-61E0-4AE4-885D-7D76BC3B61E7}">
      <dgm:prSet/>
      <dgm:spPr/>
      <dgm:t>
        <a:bodyPr/>
        <a:lstStyle/>
        <a:p>
          <a:endParaRPr lang="en-ID"/>
        </a:p>
      </dgm:t>
    </dgm:pt>
    <dgm:pt modelId="{764B53F7-9089-41E6-A70C-C772E118D8CC}">
      <dgm:prSet phldrT="[Text]"/>
      <dgm:spPr/>
      <dgm:t>
        <a:bodyPr/>
        <a:lstStyle/>
        <a:p>
          <a:r>
            <a:rPr lang="en-ID"/>
            <a:t>Saldo Bank dan mutasi</a:t>
          </a:r>
        </a:p>
      </dgm:t>
    </dgm:pt>
    <dgm:pt modelId="{38D44F43-C60E-4ED6-AE90-11C4C80BCE15}" type="parTrans" cxnId="{AB0EFC9D-DFAF-4228-A265-58A17B0A3216}">
      <dgm:prSet/>
      <dgm:spPr/>
      <dgm:t>
        <a:bodyPr/>
        <a:lstStyle/>
        <a:p>
          <a:endParaRPr lang="en-ID"/>
        </a:p>
      </dgm:t>
    </dgm:pt>
    <dgm:pt modelId="{BC48EF95-D53B-4224-AEED-0C929200DFE9}" type="sibTrans" cxnId="{AB0EFC9D-DFAF-4228-A265-58A17B0A3216}">
      <dgm:prSet/>
      <dgm:spPr/>
      <dgm:t>
        <a:bodyPr/>
        <a:lstStyle/>
        <a:p>
          <a:endParaRPr lang="en-ID"/>
        </a:p>
      </dgm:t>
    </dgm:pt>
    <dgm:pt modelId="{1716CBBC-62F7-407E-8364-8DF812B99A41}">
      <dgm:prSet phldrT="[Text]"/>
      <dgm:spPr/>
      <dgm:t>
        <a:bodyPr/>
        <a:lstStyle/>
        <a:p>
          <a:r>
            <a:rPr lang="en-ID"/>
            <a:t>Saldo Kas Kecil dan mutasi</a:t>
          </a:r>
        </a:p>
      </dgm:t>
    </dgm:pt>
    <dgm:pt modelId="{99007505-E402-42B4-ADCE-55FBF93A8610}" type="parTrans" cxnId="{AB317C2C-B486-4F74-BCA9-14EF0D4DC7EA}">
      <dgm:prSet/>
      <dgm:spPr/>
      <dgm:t>
        <a:bodyPr/>
        <a:lstStyle/>
        <a:p>
          <a:endParaRPr lang="en-ID"/>
        </a:p>
      </dgm:t>
    </dgm:pt>
    <dgm:pt modelId="{D7C0A74C-2492-45B2-958E-E51D59C56033}" type="sibTrans" cxnId="{AB317C2C-B486-4F74-BCA9-14EF0D4DC7EA}">
      <dgm:prSet/>
      <dgm:spPr/>
      <dgm:t>
        <a:bodyPr/>
        <a:lstStyle/>
        <a:p>
          <a:endParaRPr lang="en-ID"/>
        </a:p>
      </dgm:t>
    </dgm:pt>
    <dgm:pt modelId="{61401D3E-E920-4915-B72D-B0E2AB1B66B3}">
      <dgm:prSet phldrT="[Text]"/>
      <dgm:spPr/>
      <dgm:t>
        <a:bodyPr/>
        <a:lstStyle/>
        <a:p>
          <a:r>
            <a:rPr lang="en-ID"/>
            <a:t>UMK (Pengajuan, Realisasi (SUR/DEV) , Outstanding)</a:t>
          </a:r>
        </a:p>
      </dgm:t>
    </dgm:pt>
    <dgm:pt modelId="{647C6B90-C73A-4522-8818-9271DEB060BD}" type="parTrans" cxnId="{C84491C1-7A0B-41F6-B072-6CF31CABFB3D}">
      <dgm:prSet/>
      <dgm:spPr/>
      <dgm:t>
        <a:bodyPr/>
        <a:lstStyle/>
        <a:p>
          <a:endParaRPr lang="en-ID"/>
        </a:p>
      </dgm:t>
    </dgm:pt>
    <dgm:pt modelId="{1AAAC484-C9EF-49C3-9CB6-C1CB088ADE2E}" type="sibTrans" cxnId="{C84491C1-7A0B-41F6-B072-6CF31CABFB3D}">
      <dgm:prSet/>
      <dgm:spPr/>
      <dgm:t>
        <a:bodyPr/>
        <a:lstStyle/>
        <a:p>
          <a:endParaRPr lang="en-ID"/>
        </a:p>
      </dgm:t>
    </dgm:pt>
    <dgm:pt modelId="{ECAC16E2-CC33-4E6E-B74E-3CB8E0E7709D}">
      <dgm:prSet phldrT="[Text]"/>
      <dgm:spPr/>
      <dgm:t>
        <a:bodyPr/>
        <a:lstStyle/>
        <a:p>
          <a:r>
            <a:rPr lang="en-ID"/>
            <a:t>PENGATURAN</a:t>
          </a:r>
        </a:p>
      </dgm:t>
    </dgm:pt>
    <dgm:pt modelId="{799C4FAA-0567-45C8-B17A-EE9C195312CC}" type="parTrans" cxnId="{7B57BC89-F6E5-467D-8B05-C193C6E2B946}">
      <dgm:prSet/>
      <dgm:spPr/>
      <dgm:t>
        <a:bodyPr/>
        <a:lstStyle/>
        <a:p>
          <a:endParaRPr lang="en-ID"/>
        </a:p>
      </dgm:t>
    </dgm:pt>
    <dgm:pt modelId="{A2479992-BFBA-48DC-8AA6-75EAC9A68FF4}" type="sibTrans" cxnId="{7B57BC89-F6E5-467D-8B05-C193C6E2B946}">
      <dgm:prSet/>
      <dgm:spPr/>
      <dgm:t>
        <a:bodyPr/>
        <a:lstStyle/>
        <a:p>
          <a:endParaRPr lang="en-ID"/>
        </a:p>
      </dgm:t>
    </dgm:pt>
    <dgm:pt modelId="{ED5FC314-49A6-4DB6-91C9-70F3B53F281D}">
      <dgm:prSet phldrT="[Text]"/>
      <dgm:spPr/>
      <dgm:t>
        <a:bodyPr/>
        <a:lstStyle/>
        <a:p>
          <a:r>
            <a:rPr lang="en-ID"/>
            <a:t>Anggota</a:t>
          </a:r>
        </a:p>
      </dgm:t>
    </dgm:pt>
    <dgm:pt modelId="{30B032D5-09FE-45EA-989F-46055C643FE9}" type="parTrans" cxnId="{6E7DBA3E-0A73-45FD-B805-029C4A187661}">
      <dgm:prSet/>
      <dgm:spPr/>
      <dgm:t>
        <a:bodyPr/>
        <a:lstStyle/>
        <a:p>
          <a:endParaRPr lang="en-ID"/>
        </a:p>
      </dgm:t>
    </dgm:pt>
    <dgm:pt modelId="{9BA844E5-D79C-4245-92B6-EECC757077D7}" type="sibTrans" cxnId="{6E7DBA3E-0A73-45FD-B805-029C4A187661}">
      <dgm:prSet/>
      <dgm:spPr/>
      <dgm:t>
        <a:bodyPr/>
        <a:lstStyle/>
        <a:p>
          <a:endParaRPr lang="en-ID"/>
        </a:p>
      </dgm:t>
    </dgm:pt>
    <dgm:pt modelId="{54F45830-8279-4C18-8B12-3B168E94403C}">
      <dgm:prSet phldrT="[Text]"/>
      <dgm:spPr/>
      <dgm:t>
        <a:bodyPr/>
        <a:lstStyle/>
        <a:p>
          <a:r>
            <a:rPr lang="en-ID"/>
            <a:t>Kelas Iur RS</a:t>
          </a:r>
        </a:p>
      </dgm:t>
    </dgm:pt>
    <dgm:pt modelId="{418B5BA5-EC27-4FA2-901B-BBA45B44145A}" type="parTrans" cxnId="{2F7BBF86-5177-4E4D-A4FF-A807A9A2928E}">
      <dgm:prSet/>
      <dgm:spPr/>
      <dgm:t>
        <a:bodyPr/>
        <a:lstStyle/>
        <a:p>
          <a:endParaRPr lang="en-ID"/>
        </a:p>
      </dgm:t>
    </dgm:pt>
    <dgm:pt modelId="{381C835C-7B5F-4693-B3C5-51A351DDCF5B}" type="sibTrans" cxnId="{2F7BBF86-5177-4E4D-A4FF-A807A9A2928E}">
      <dgm:prSet/>
      <dgm:spPr/>
      <dgm:t>
        <a:bodyPr/>
        <a:lstStyle/>
        <a:p>
          <a:endParaRPr lang="en-ID"/>
        </a:p>
      </dgm:t>
    </dgm:pt>
    <dgm:pt modelId="{51135689-A67E-45C4-9A8E-EEC1496FA09E}">
      <dgm:prSet phldrT="[Text]"/>
      <dgm:spPr/>
      <dgm:t>
        <a:bodyPr/>
        <a:lstStyle/>
        <a:p>
          <a:r>
            <a:rPr lang="en-ID"/>
            <a:t>COA</a:t>
          </a:r>
        </a:p>
      </dgm:t>
    </dgm:pt>
    <dgm:pt modelId="{A053BA05-2F5C-41D5-891F-D3BCD7B88AD8}" type="parTrans" cxnId="{E9C8BBBA-B0C6-42C1-9201-7185377D0818}">
      <dgm:prSet/>
      <dgm:spPr/>
      <dgm:t>
        <a:bodyPr/>
        <a:lstStyle/>
        <a:p>
          <a:endParaRPr lang="en-ID"/>
        </a:p>
      </dgm:t>
    </dgm:pt>
    <dgm:pt modelId="{EBF5954C-4B6C-4D84-9102-1CF1632EF1ED}" type="sibTrans" cxnId="{E9C8BBBA-B0C6-42C1-9201-7185377D0818}">
      <dgm:prSet/>
      <dgm:spPr/>
      <dgm:t>
        <a:bodyPr/>
        <a:lstStyle/>
        <a:p>
          <a:endParaRPr lang="en-ID"/>
        </a:p>
      </dgm:t>
    </dgm:pt>
    <dgm:pt modelId="{7BE969EB-F2B9-43FA-93E4-776B152F670F}">
      <dgm:prSet phldrT="[Text]"/>
      <dgm:spPr/>
      <dgm:t>
        <a:bodyPr/>
        <a:lstStyle/>
        <a:p>
          <a:r>
            <a:rPr lang="en-ID"/>
            <a:t>User</a:t>
          </a:r>
        </a:p>
      </dgm:t>
    </dgm:pt>
    <dgm:pt modelId="{17C5F9F5-282F-49C9-8703-F5DFA6C3F13A}" type="parTrans" cxnId="{452B6DA5-FDDB-4FBF-B616-7D112D3A873E}">
      <dgm:prSet/>
      <dgm:spPr/>
      <dgm:t>
        <a:bodyPr/>
        <a:lstStyle/>
        <a:p>
          <a:endParaRPr lang="en-ID"/>
        </a:p>
      </dgm:t>
    </dgm:pt>
    <dgm:pt modelId="{14F6CBDA-68E4-421A-A0E8-49AE65482969}" type="sibTrans" cxnId="{452B6DA5-FDDB-4FBF-B616-7D112D3A873E}">
      <dgm:prSet/>
      <dgm:spPr/>
      <dgm:t>
        <a:bodyPr/>
        <a:lstStyle/>
        <a:p>
          <a:endParaRPr lang="en-ID"/>
        </a:p>
      </dgm:t>
    </dgm:pt>
    <dgm:pt modelId="{8141B9D4-73C6-4509-9E8A-F30FE436B756}">
      <dgm:prSet phldrT="[Text]"/>
      <dgm:spPr/>
      <dgm:t>
        <a:bodyPr/>
        <a:lstStyle/>
        <a:p>
          <a:r>
            <a:rPr lang="en-ID"/>
            <a:t>Saldo Awal</a:t>
          </a:r>
        </a:p>
      </dgm:t>
    </dgm:pt>
    <dgm:pt modelId="{3B8CE8CD-23C4-414E-8578-99BEE0069550}" type="parTrans" cxnId="{EBC13213-C966-4ECA-B362-A1E1F06B9DDF}">
      <dgm:prSet/>
      <dgm:spPr/>
      <dgm:t>
        <a:bodyPr/>
        <a:lstStyle/>
        <a:p>
          <a:endParaRPr lang="en-ID"/>
        </a:p>
      </dgm:t>
    </dgm:pt>
    <dgm:pt modelId="{A378A8A8-56AB-406A-8CDA-DF4057BAAEA1}" type="sibTrans" cxnId="{EBC13213-C966-4ECA-B362-A1E1F06B9DDF}">
      <dgm:prSet/>
      <dgm:spPr/>
      <dgm:t>
        <a:bodyPr/>
        <a:lstStyle/>
        <a:p>
          <a:endParaRPr lang="en-ID"/>
        </a:p>
      </dgm:t>
    </dgm:pt>
    <dgm:pt modelId="{518D523C-8050-4959-A9CC-B4232700161A}" type="pres">
      <dgm:prSet presAssocID="{4023B85C-EF29-4DE0-8FA4-DB2E06CE1337}" presName="linear" presStyleCnt="0">
        <dgm:presLayoutVars>
          <dgm:animLvl val="lvl"/>
          <dgm:resizeHandles val="exact"/>
        </dgm:presLayoutVars>
      </dgm:prSet>
      <dgm:spPr/>
    </dgm:pt>
    <dgm:pt modelId="{3A703DE1-2CEC-4413-94C1-05A45C42DF82}" type="pres">
      <dgm:prSet presAssocID="{BEBB03BA-2A49-4888-9BE1-CF81D77651C4}" presName="parentText" presStyleLbl="node1" presStyleIdx="0" presStyleCnt="6">
        <dgm:presLayoutVars>
          <dgm:chMax val="0"/>
          <dgm:bulletEnabled val="1"/>
        </dgm:presLayoutVars>
      </dgm:prSet>
      <dgm:spPr/>
    </dgm:pt>
    <dgm:pt modelId="{C157CFD3-516F-40E0-9A0D-30B5B189707B}" type="pres">
      <dgm:prSet presAssocID="{BEBB03BA-2A49-4888-9BE1-CF81D77651C4}" presName="childText" presStyleLbl="revTx" presStyleIdx="0" presStyleCnt="6">
        <dgm:presLayoutVars>
          <dgm:bulletEnabled val="1"/>
        </dgm:presLayoutVars>
      </dgm:prSet>
      <dgm:spPr/>
    </dgm:pt>
    <dgm:pt modelId="{CFC36606-A1AD-4FCE-A364-11A0BD6A4374}" type="pres">
      <dgm:prSet presAssocID="{1F201E2B-641E-4F18-BC23-313C1197A31C}" presName="parentText" presStyleLbl="node1" presStyleIdx="1" presStyleCnt="6">
        <dgm:presLayoutVars>
          <dgm:chMax val="0"/>
          <dgm:bulletEnabled val="1"/>
        </dgm:presLayoutVars>
      </dgm:prSet>
      <dgm:spPr/>
    </dgm:pt>
    <dgm:pt modelId="{AA8A685C-8A29-4A11-9B35-8139690B5169}" type="pres">
      <dgm:prSet presAssocID="{1F201E2B-641E-4F18-BC23-313C1197A31C}" presName="childText" presStyleLbl="revTx" presStyleIdx="1" presStyleCnt="6">
        <dgm:presLayoutVars>
          <dgm:bulletEnabled val="1"/>
        </dgm:presLayoutVars>
      </dgm:prSet>
      <dgm:spPr/>
    </dgm:pt>
    <dgm:pt modelId="{A0D9D544-D10C-4C6E-A45F-98C021FAD589}" type="pres">
      <dgm:prSet presAssocID="{7BB0AA9B-21B5-42D8-9681-69E7920EFDCA}" presName="parentText" presStyleLbl="node1" presStyleIdx="2" presStyleCnt="6">
        <dgm:presLayoutVars>
          <dgm:chMax val="0"/>
          <dgm:bulletEnabled val="1"/>
        </dgm:presLayoutVars>
      </dgm:prSet>
      <dgm:spPr/>
    </dgm:pt>
    <dgm:pt modelId="{C654F957-16D3-4CE7-A658-0B3BD1618ACF}" type="pres">
      <dgm:prSet presAssocID="{7BB0AA9B-21B5-42D8-9681-69E7920EFDCA}" presName="childText" presStyleLbl="revTx" presStyleIdx="2" presStyleCnt="6">
        <dgm:presLayoutVars>
          <dgm:bulletEnabled val="1"/>
        </dgm:presLayoutVars>
      </dgm:prSet>
      <dgm:spPr/>
    </dgm:pt>
    <dgm:pt modelId="{BAF64A79-83AC-4FC0-8B70-F4A2F399F8D3}" type="pres">
      <dgm:prSet presAssocID="{920242DB-B749-4D70-ABFE-8771A782652C}" presName="parentText" presStyleLbl="node1" presStyleIdx="3" presStyleCnt="6">
        <dgm:presLayoutVars>
          <dgm:chMax val="0"/>
          <dgm:bulletEnabled val="1"/>
        </dgm:presLayoutVars>
      </dgm:prSet>
      <dgm:spPr/>
    </dgm:pt>
    <dgm:pt modelId="{F374B8D4-252C-422E-B637-7D4AA50652C5}" type="pres">
      <dgm:prSet presAssocID="{920242DB-B749-4D70-ABFE-8771A782652C}" presName="childText" presStyleLbl="revTx" presStyleIdx="3" presStyleCnt="6">
        <dgm:presLayoutVars>
          <dgm:bulletEnabled val="1"/>
        </dgm:presLayoutVars>
      </dgm:prSet>
      <dgm:spPr/>
    </dgm:pt>
    <dgm:pt modelId="{29638F9F-D303-4778-9D09-45AC42488FFA}" type="pres">
      <dgm:prSet presAssocID="{4881258F-5D3A-4477-AFBE-63B84B5DD7A4}" presName="parentText" presStyleLbl="node1" presStyleIdx="4" presStyleCnt="6">
        <dgm:presLayoutVars>
          <dgm:chMax val="0"/>
          <dgm:bulletEnabled val="1"/>
        </dgm:presLayoutVars>
      </dgm:prSet>
      <dgm:spPr/>
    </dgm:pt>
    <dgm:pt modelId="{B74CE96A-F02D-468E-A22C-4AB584FB3D99}" type="pres">
      <dgm:prSet presAssocID="{4881258F-5D3A-4477-AFBE-63B84B5DD7A4}" presName="childText" presStyleLbl="revTx" presStyleIdx="4" presStyleCnt="6">
        <dgm:presLayoutVars>
          <dgm:bulletEnabled val="1"/>
        </dgm:presLayoutVars>
      </dgm:prSet>
      <dgm:spPr/>
    </dgm:pt>
    <dgm:pt modelId="{DCC5F4F7-E609-4884-9A98-E682B8DC1A9B}" type="pres">
      <dgm:prSet presAssocID="{ECAC16E2-CC33-4E6E-B74E-3CB8E0E7709D}" presName="parentText" presStyleLbl="node1" presStyleIdx="5" presStyleCnt="6">
        <dgm:presLayoutVars>
          <dgm:chMax val="0"/>
          <dgm:bulletEnabled val="1"/>
        </dgm:presLayoutVars>
      </dgm:prSet>
      <dgm:spPr/>
    </dgm:pt>
    <dgm:pt modelId="{CBC4F393-E43E-47A2-887B-F12BD9595B7F}" type="pres">
      <dgm:prSet presAssocID="{ECAC16E2-CC33-4E6E-B74E-3CB8E0E7709D}" presName="childText" presStyleLbl="revTx" presStyleIdx="5" presStyleCnt="6">
        <dgm:presLayoutVars>
          <dgm:bulletEnabled val="1"/>
        </dgm:presLayoutVars>
      </dgm:prSet>
      <dgm:spPr/>
    </dgm:pt>
  </dgm:ptLst>
  <dgm:cxnLst>
    <dgm:cxn modelId="{45ED7707-1688-4830-99FC-8AC8B8F99319}" type="presOf" srcId="{D7AE2192-8841-4768-BDB4-64C18E0884D6}" destId="{C654F957-16D3-4CE7-A658-0B3BD1618ACF}" srcOrd="0" destOrd="0" presId="urn:microsoft.com/office/officeart/2005/8/layout/vList2"/>
    <dgm:cxn modelId="{1C505408-167E-4C33-AC8C-B73C03A68BB6}" srcId="{4023B85C-EF29-4DE0-8FA4-DB2E06CE1337}" destId="{1F201E2B-641E-4F18-BC23-313C1197A31C}" srcOrd="1" destOrd="0" parTransId="{7D22842D-FECA-4B27-A6E5-739976736884}" sibTransId="{82F048DD-6F0E-4004-9A63-D32F5D371A9E}"/>
    <dgm:cxn modelId="{27AE0909-30D9-4159-87A8-7722B9916C14}" type="presOf" srcId="{54F45830-8279-4C18-8B12-3B168E94403C}" destId="{CBC4F393-E43E-47A2-887B-F12BD9595B7F}" srcOrd="0" destOrd="1" presId="urn:microsoft.com/office/officeart/2005/8/layout/vList2"/>
    <dgm:cxn modelId="{4944EC0D-DE51-4510-A196-0006F0EF85E7}" type="presOf" srcId="{61401D3E-E920-4915-B72D-B0E2AB1B66B3}" destId="{B74CE96A-F02D-468E-A22C-4AB584FB3D99}" srcOrd="0" destOrd="3" presId="urn:microsoft.com/office/officeart/2005/8/layout/vList2"/>
    <dgm:cxn modelId="{7122A410-07CE-4781-B708-942F43498B4C}" type="presOf" srcId="{7BB0AA9B-21B5-42D8-9681-69E7920EFDCA}" destId="{A0D9D544-D10C-4C6E-A45F-98C021FAD589}" srcOrd="0" destOrd="0" presId="urn:microsoft.com/office/officeart/2005/8/layout/vList2"/>
    <dgm:cxn modelId="{30906E11-3695-4A42-8338-CA254CFD4687}" type="presOf" srcId="{EF162D57-F579-4A8E-ACA8-DAE0ED3C8F8E}" destId="{AA8A685C-8A29-4A11-9B35-8139690B5169}" srcOrd="0" destOrd="0" presId="urn:microsoft.com/office/officeart/2005/8/layout/vList2"/>
    <dgm:cxn modelId="{EBC13213-C966-4ECA-B362-A1E1F06B9DDF}" srcId="{ECAC16E2-CC33-4E6E-B74E-3CB8E0E7709D}" destId="{8141B9D4-73C6-4509-9E8A-F30FE436B756}" srcOrd="4" destOrd="0" parTransId="{3B8CE8CD-23C4-414E-8578-99BEE0069550}" sibTransId="{A378A8A8-56AB-406A-8CDA-DF4057BAAEA1}"/>
    <dgm:cxn modelId="{1252CF18-ADEB-4B71-8854-998C2FA2F634}" srcId="{BEBB03BA-2A49-4888-9BE1-CF81D77651C4}" destId="{82CC39B3-AF62-472B-A5D2-0B73DAD4AF65}" srcOrd="1" destOrd="0" parTransId="{7A43D358-0004-488E-997E-2931ED2586C6}" sibTransId="{C8449FFA-EA0F-4588-B89D-159002451991}"/>
    <dgm:cxn modelId="{6FCB001D-966D-40CC-92CC-1D1AA18A8B11}" type="presOf" srcId="{ED5FC314-49A6-4DB6-91C9-70F3B53F281D}" destId="{CBC4F393-E43E-47A2-887B-F12BD9595B7F}" srcOrd="0" destOrd="0" presId="urn:microsoft.com/office/officeart/2005/8/layout/vList2"/>
    <dgm:cxn modelId="{71273420-6C12-4CDD-B640-A184450FFF46}" srcId="{920242DB-B749-4D70-ABFE-8771A782652C}" destId="{0ED4ED55-0943-4FA3-9CAC-77D52B199156}" srcOrd="0" destOrd="0" parTransId="{FE674D64-F636-4426-B44C-E6E6785B501B}" sibTransId="{DAA7954E-390A-43AB-861B-275F67B32048}"/>
    <dgm:cxn modelId="{66311122-7FA4-4DC3-A7D8-6E203973AFD1}" srcId="{BEBB03BA-2A49-4888-9BE1-CF81D77651C4}" destId="{EC7EB19D-9257-492F-B395-E06C6AAD80AE}" srcOrd="3" destOrd="0" parTransId="{8E3B2D95-87A0-4834-A628-33F4D2FF33EC}" sibTransId="{3C4D5D5E-83C4-432D-9977-752690D2ABC8}"/>
    <dgm:cxn modelId="{AB317C2C-B486-4F74-BCA9-14EF0D4DC7EA}" srcId="{4881258F-5D3A-4477-AFBE-63B84B5DD7A4}" destId="{1716CBBC-62F7-407E-8364-8DF812B99A41}" srcOrd="2" destOrd="0" parTransId="{99007505-E402-42B4-ADCE-55FBF93A8610}" sibTransId="{D7C0A74C-2492-45B2-958E-E51D59C56033}"/>
    <dgm:cxn modelId="{3FF10337-DF00-4480-A70D-57785026E1EF}" type="presOf" srcId="{1F201E2B-641E-4F18-BC23-313C1197A31C}" destId="{CFC36606-A1AD-4FCE-A364-11A0BD6A4374}" srcOrd="0" destOrd="0" presId="urn:microsoft.com/office/officeart/2005/8/layout/vList2"/>
    <dgm:cxn modelId="{3B150F38-B81A-4202-A22F-0121D87C59AD}" type="presOf" srcId="{0ED4ED55-0943-4FA3-9CAC-77D52B199156}" destId="{F374B8D4-252C-422E-B637-7D4AA50652C5}" srcOrd="0" destOrd="0" presId="urn:microsoft.com/office/officeart/2005/8/layout/vList2"/>
    <dgm:cxn modelId="{C90DF43B-DFD3-413E-BA92-82437FDA7AD1}" srcId="{920242DB-B749-4D70-ABFE-8771A782652C}" destId="{714CB259-3694-4A3F-8C90-1574DEAD3375}" srcOrd="2" destOrd="0" parTransId="{4BE3F5D5-6891-49D2-8240-35298742CAF6}" sibTransId="{B3FBA9E8-6EA2-4AEA-98AB-14BF98AC59E0}"/>
    <dgm:cxn modelId="{91EEF93D-FB20-49C5-ABE3-8D5F0DCF5734}" type="presOf" srcId="{971B7D68-EB21-4148-894E-024AFE52FEB5}" destId="{AA8A685C-8A29-4A11-9B35-8139690B5169}" srcOrd="0" destOrd="1" presId="urn:microsoft.com/office/officeart/2005/8/layout/vList2"/>
    <dgm:cxn modelId="{6E7DBA3E-0A73-45FD-B805-029C4A187661}" srcId="{ECAC16E2-CC33-4E6E-B74E-3CB8E0E7709D}" destId="{ED5FC314-49A6-4DB6-91C9-70F3B53F281D}" srcOrd="0" destOrd="0" parTransId="{30B032D5-09FE-45EA-989F-46055C643FE9}" sibTransId="{9BA844E5-D79C-4245-92B6-EECC757077D7}"/>
    <dgm:cxn modelId="{D34AA95D-F521-41FD-8F5D-7AD6C4B5E4F4}" srcId="{920242DB-B749-4D70-ABFE-8771A782652C}" destId="{6AB79CAD-4693-4A95-8D3F-B9A6D2D5BF99}" srcOrd="1" destOrd="0" parTransId="{8E72F307-DFEE-475E-B473-F798BB473F3C}" sibTransId="{40728D69-0C43-4CA4-A97F-FC23F591F8B7}"/>
    <dgm:cxn modelId="{D94EC642-EB33-47FE-B848-EA533F62ABB2}" srcId="{7BB0AA9B-21B5-42D8-9681-69E7920EFDCA}" destId="{BDE5F0D8-5C84-43EA-92B5-D37B71D01ADA}" srcOrd="1" destOrd="0" parTransId="{062472F4-D665-4ED5-802C-2439C181CA26}" sibTransId="{58F892A0-F6D5-4EF2-921B-1D14F7427FD6}"/>
    <dgm:cxn modelId="{71EFBB63-336B-4E18-85B5-249364B55551}" type="presOf" srcId="{7BE969EB-F2B9-43FA-93E4-776B152F670F}" destId="{CBC4F393-E43E-47A2-887B-F12BD9595B7F}" srcOrd="0" destOrd="3" presId="urn:microsoft.com/office/officeart/2005/8/layout/vList2"/>
    <dgm:cxn modelId="{4A24A344-3BA7-48B9-8CFE-40ABDA7328FD}" type="presOf" srcId="{ECAC16E2-CC33-4E6E-B74E-3CB8E0E7709D}" destId="{DCC5F4F7-E609-4884-9A98-E682B8DC1A9B}" srcOrd="0" destOrd="0" presId="urn:microsoft.com/office/officeart/2005/8/layout/vList2"/>
    <dgm:cxn modelId="{C7C0396D-C7F9-4FD3-A9D6-78ABCB5699ED}" type="presOf" srcId="{BDE5F0D8-5C84-43EA-92B5-D37B71D01ADA}" destId="{C654F957-16D3-4CE7-A658-0B3BD1618ACF}" srcOrd="0" destOrd="1" presId="urn:microsoft.com/office/officeart/2005/8/layout/vList2"/>
    <dgm:cxn modelId="{464DD76E-2B04-4D11-B9DF-D71671710DAE}" srcId="{7BB0AA9B-21B5-42D8-9681-69E7920EFDCA}" destId="{D7AE2192-8841-4768-BDB4-64C18E0884D6}" srcOrd="0" destOrd="0" parTransId="{DF0ADFC7-2802-48CF-B083-8F166FF8DA0F}" sibTransId="{8E81FA17-CA6A-432F-AADD-859E824CD186}"/>
    <dgm:cxn modelId="{D8D7EE6E-A8BD-4F0C-90D9-8A1632FF9BA6}" srcId="{1F201E2B-641E-4F18-BC23-313C1197A31C}" destId="{971B7D68-EB21-4148-894E-024AFE52FEB5}" srcOrd="1" destOrd="0" parTransId="{CA5073ED-B5D7-4BD2-B50F-13099AE689FB}" sibTransId="{E33C94C8-0D54-4286-A45C-4165308AB553}"/>
    <dgm:cxn modelId="{9BA59A72-16AF-489E-BF32-C295C40AFEDC}" type="presOf" srcId="{EC7EB19D-9257-492F-B395-E06C6AAD80AE}" destId="{C157CFD3-516F-40E0-9A0D-30B5B189707B}" srcOrd="0" destOrd="3" presId="urn:microsoft.com/office/officeart/2005/8/layout/vList2"/>
    <dgm:cxn modelId="{DAD21958-466C-4507-BB03-B25486942C2E}" type="presOf" srcId="{764B53F7-9089-41E6-A70C-C772E118D8CC}" destId="{B74CE96A-F02D-468E-A22C-4AB584FB3D99}" srcOrd="0" destOrd="1" presId="urn:microsoft.com/office/officeart/2005/8/layout/vList2"/>
    <dgm:cxn modelId="{9FC9F759-0F9C-4743-9768-6E0B37EC986B}" type="presOf" srcId="{714CB259-3694-4A3F-8C90-1574DEAD3375}" destId="{F374B8D4-252C-422E-B637-7D4AA50652C5}" srcOrd="0" destOrd="2" presId="urn:microsoft.com/office/officeart/2005/8/layout/vList2"/>
    <dgm:cxn modelId="{93896A7A-E606-4B3F-A2B5-B4ABDB01D5A7}" type="presOf" srcId="{4881258F-5D3A-4477-AFBE-63B84B5DD7A4}" destId="{29638F9F-D303-4778-9D09-45AC42488FFA}" srcOrd="0" destOrd="0" presId="urn:microsoft.com/office/officeart/2005/8/layout/vList2"/>
    <dgm:cxn modelId="{2F7BBF86-5177-4E4D-A4FF-A807A9A2928E}" srcId="{ECAC16E2-CC33-4E6E-B74E-3CB8E0E7709D}" destId="{54F45830-8279-4C18-8B12-3B168E94403C}" srcOrd="1" destOrd="0" parTransId="{418B5BA5-EC27-4FA2-901B-BBA45B44145A}" sibTransId="{381C835C-7B5F-4693-B3C5-51A351DDCF5B}"/>
    <dgm:cxn modelId="{47F4E386-1083-43E1-8A44-DC7223849545}" type="presOf" srcId="{BEBB03BA-2A49-4888-9BE1-CF81D77651C4}" destId="{3A703DE1-2CEC-4413-94C1-05A45C42DF82}" srcOrd="0" destOrd="0" presId="urn:microsoft.com/office/officeart/2005/8/layout/vList2"/>
    <dgm:cxn modelId="{4EC9F787-96ED-434B-B9B3-C60CC2863153}" type="presOf" srcId="{51135689-A67E-45C4-9A8E-EEC1496FA09E}" destId="{CBC4F393-E43E-47A2-887B-F12BD9595B7F}" srcOrd="0" destOrd="2" presId="urn:microsoft.com/office/officeart/2005/8/layout/vList2"/>
    <dgm:cxn modelId="{1A9DA089-8CBA-44F0-A38E-476146560922}" srcId="{BEBB03BA-2A49-4888-9BE1-CF81D77651C4}" destId="{EBC17E40-CC9B-411B-A171-94BB00991171}" srcOrd="2" destOrd="0" parTransId="{0F2314A5-7B68-4433-972D-ECCD0E1AA34D}" sibTransId="{D2320F47-7EAB-4C4C-A968-A578BDDEDDD2}"/>
    <dgm:cxn modelId="{7B57BC89-F6E5-467D-8B05-C193C6E2B946}" srcId="{4023B85C-EF29-4DE0-8FA4-DB2E06CE1337}" destId="{ECAC16E2-CC33-4E6E-B74E-3CB8E0E7709D}" srcOrd="5" destOrd="0" parTransId="{799C4FAA-0567-45C8-B17A-EE9C195312CC}" sibTransId="{A2479992-BFBA-48DC-8AA6-75EAC9A68FF4}"/>
    <dgm:cxn modelId="{21A3648D-E148-46FF-BADD-1434E579C3FC}" type="presOf" srcId="{8141B9D4-73C6-4509-9E8A-F30FE436B756}" destId="{CBC4F393-E43E-47A2-887B-F12BD9595B7F}" srcOrd="0" destOrd="4" presId="urn:microsoft.com/office/officeart/2005/8/layout/vList2"/>
    <dgm:cxn modelId="{851C3190-0CB8-43CA-BE2D-FF5767A7F064}" type="presOf" srcId="{918661B6-C1C6-4EA7-99D9-049EFCBB21D6}" destId="{C157CFD3-516F-40E0-9A0D-30B5B189707B}" srcOrd="0" destOrd="0" presId="urn:microsoft.com/office/officeart/2005/8/layout/vList2"/>
    <dgm:cxn modelId="{DB42C798-9A9B-42EF-BFDF-7DFBEB969226}" srcId="{4023B85C-EF29-4DE0-8FA4-DB2E06CE1337}" destId="{920242DB-B749-4D70-ABFE-8771A782652C}" srcOrd="3" destOrd="0" parTransId="{33C64273-0C3F-4AD4-A9B2-7091233491EB}" sibTransId="{C72C8AF2-CB71-4452-AA31-25E7D295F920}"/>
    <dgm:cxn modelId="{D052019A-34C6-4E94-ACCE-6266C874BDBC}" srcId="{4023B85C-EF29-4DE0-8FA4-DB2E06CE1337}" destId="{4881258F-5D3A-4477-AFBE-63B84B5DD7A4}" srcOrd="4" destOrd="0" parTransId="{18AE3E8F-B63B-4663-8E26-4085ADD262BB}" sibTransId="{1FCC8C47-0335-4CD9-BD02-B5B41FFAA67C}"/>
    <dgm:cxn modelId="{AB0EFC9D-DFAF-4228-A265-58A17B0A3216}" srcId="{4881258F-5D3A-4477-AFBE-63B84B5DD7A4}" destId="{764B53F7-9089-41E6-A70C-C772E118D8CC}" srcOrd="1" destOrd="0" parTransId="{38D44F43-C60E-4ED6-AE90-11C4C80BCE15}" sibTransId="{BC48EF95-D53B-4224-AEED-0C929200DFE9}"/>
    <dgm:cxn modelId="{452B6DA5-FDDB-4FBF-B616-7D112D3A873E}" srcId="{ECAC16E2-CC33-4E6E-B74E-3CB8E0E7709D}" destId="{7BE969EB-F2B9-43FA-93E4-776B152F670F}" srcOrd="3" destOrd="0" parTransId="{17C5F9F5-282F-49C9-8703-F5DFA6C3F13A}" sibTransId="{14F6CBDA-68E4-421A-A0E8-49AE65482969}"/>
    <dgm:cxn modelId="{18D4BFAA-5593-4F2D-9E39-CC98F9EE40EE}" srcId="{BEBB03BA-2A49-4888-9BE1-CF81D77651C4}" destId="{918661B6-C1C6-4EA7-99D9-049EFCBB21D6}" srcOrd="0" destOrd="0" parTransId="{983182D9-0848-4037-A273-906D270D307D}" sibTransId="{4FC750DA-E158-4865-8CF9-0A1D7F4EA85D}"/>
    <dgm:cxn modelId="{97021DAC-61E0-4AE4-885D-7D76BC3B61E7}" srcId="{4881258F-5D3A-4477-AFBE-63B84B5DD7A4}" destId="{36F6B5CC-529A-4C4D-8A83-1D671A559255}" srcOrd="0" destOrd="0" parTransId="{5E52B370-0890-4C35-9DF0-D6944092B3A5}" sibTransId="{BFB7C17A-EE66-40EB-BA9D-DD752D10478F}"/>
    <dgm:cxn modelId="{33E245B0-93C6-4984-B01F-34EEA62E0F7D}" type="presOf" srcId="{EBC17E40-CC9B-411B-A171-94BB00991171}" destId="{C157CFD3-516F-40E0-9A0D-30B5B189707B}" srcOrd="0" destOrd="2" presId="urn:microsoft.com/office/officeart/2005/8/layout/vList2"/>
    <dgm:cxn modelId="{D9DED5B1-FE73-43C2-81CC-4219484C6B19}" srcId="{4023B85C-EF29-4DE0-8FA4-DB2E06CE1337}" destId="{7BB0AA9B-21B5-42D8-9681-69E7920EFDCA}" srcOrd="2" destOrd="0" parTransId="{3A5929DB-F8F9-4B18-A244-214326D8AB5E}" sibTransId="{866CCF28-07AB-4D56-8D87-8C2D09878B4D}"/>
    <dgm:cxn modelId="{E9C8BBBA-B0C6-42C1-9201-7185377D0818}" srcId="{ECAC16E2-CC33-4E6E-B74E-3CB8E0E7709D}" destId="{51135689-A67E-45C4-9A8E-EEC1496FA09E}" srcOrd="2" destOrd="0" parTransId="{A053BA05-2F5C-41D5-891F-D3BCD7B88AD8}" sibTransId="{EBF5954C-4B6C-4D84-9102-1CF1632EF1ED}"/>
    <dgm:cxn modelId="{630C8CBD-1F5C-4096-BA19-5E32EE0E2747}" srcId="{1F201E2B-641E-4F18-BC23-313C1197A31C}" destId="{EF162D57-F579-4A8E-ACA8-DAE0ED3C8F8E}" srcOrd="0" destOrd="0" parTransId="{64C02E7C-38DB-48F7-A2C2-D81CC5BFE003}" sibTransId="{C0F45F8D-0860-4D0C-9EA8-60BBA88832F5}"/>
    <dgm:cxn modelId="{A59071BE-3B8D-4449-9EDC-6911C7300F3C}" type="presOf" srcId="{1716CBBC-62F7-407E-8364-8DF812B99A41}" destId="{B74CE96A-F02D-468E-A22C-4AB584FB3D99}" srcOrd="0" destOrd="2" presId="urn:microsoft.com/office/officeart/2005/8/layout/vList2"/>
    <dgm:cxn modelId="{C84491C1-7A0B-41F6-B072-6CF31CABFB3D}" srcId="{4881258F-5D3A-4477-AFBE-63B84B5DD7A4}" destId="{61401D3E-E920-4915-B72D-B0E2AB1B66B3}" srcOrd="3" destOrd="0" parTransId="{647C6B90-C73A-4522-8818-9271DEB060BD}" sibTransId="{1AAAC484-C9EF-49C3-9CB6-C1CB088ADE2E}"/>
    <dgm:cxn modelId="{B698D2C8-7460-488C-9A6E-5D0EFCD2089B}" type="presOf" srcId="{36F6B5CC-529A-4C4D-8A83-1D671A559255}" destId="{B74CE96A-F02D-468E-A22C-4AB584FB3D99}" srcOrd="0" destOrd="0" presId="urn:microsoft.com/office/officeart/2005/8/layout/vList2"/>
    <dgm:cxn modelId="{48A5BDCA-3664-4536-BC6F-57112F39D694}" type="presOf" srcId="{4023B85C-EF29-4DE0-8FA4-DB2E06CE1337}" destId="{518D523C-8050-4959-A9CC-B4232700161A}" srcOrd="0" destOrd="0" presId="urn:microsoft.com/office/officeart/2005/8/layout/vList2"/>
    <dgm:cxn modelId="{845311D7-09AC-4EB5-85A4-41EB9E46D7C9}" type="presOf" srcId="{82CC39B3-AF62-472B-A5D2-0B73DAD4AF65}" destId="{C157CFD3-516F-40E0-9A0D-30B5B189707B}" srcOrd="0" destOrd="1" presId="urn:microsoft.com/office/officeart/2005/8/layout/vList2"/>
    <dgm:cxn modelId="{912F11DF-93A0-4666-830F-E372BA41A4AF}" type="presOf" srcId="{6AB79CAD-4693-4A95-8D3F-B9A6D2D5BF99}" destId="{F374B8D4-252C-422E-B637-7D4AA50652C5}" srcOrd="0" destOrd="1" presId="urn:microsoft.com/office/officeart/2005/8/layout/vList2"/>
    <dgm:cxn modelId="{AB31CAE3-6DC7-405F-9FCE-36442AC58130}" type="presOf" srcId="{920242DB-B749-4D70-ABFE-8771A782652C}" destId="{BAF64A79-83AC-4FC0-8B70-F4A2F399F8D3}" srcOrd="0" destOrd="0" presId="urn:microsoft.com/office/officeart/2005/8/layout/vList2"/>
    <dgm:cxn modelId="{B1C6C3FD-1230-4523-A948-A3927FEFC34E}" srcId="{4023B85C-EF29-4DE0-8FA4-DB2E06CE1337}" destId="{BEBB03BA-2A49-4888-9BE1-CF81D77651C4}" srcOrd="0" destOrd="0" parTransId="{A8802D6A-D433-4D20-AA81-A4F8D4F10FA6}" sibTransId="{08C31ECF-16A7-41C9-8EA5-43493E437BC7}"/>
    <dgm:cxn modelId="{60F4A6A4-09F2-4B38-9345-D9B23295438A}" type="presParOf" srcId="{518D523C-8050-4959-A9CC-B4232700161A}" destId="{3A703DE1-2CEC-4413-94C1-05A45C42DF82}" srcOrd="0" destOrd="0" presId="urn:microsoft.com/office/officeart/2005/8/layout/vList2"/>
    <dgm:cxn modelId="{B59D65D9-9A29-42D6-A2DE-1F14F10EDB8C}" type="presParOf" srcId="{518D523C-8050-4959-A9CC-B4232700161A}" destId="{C157CFD3-516F-40E0-9A0D-30B5B189707B}" srcOrd="1" destOrd="0" presId="urn:microsoft.com/office/officeart/2005/8/layout/vList2"/>
    <dgm:cxn modelId="{DE3E407D-ABA4-4D37-8013-5C7BCCF13105}" type="presParOf" srcId="{518D523C-8050-4959-A9CC-B4232700161A}" destId="{CFC36606-A1AD-4FCE-A364-11A0BD6A4374}" srcOrd="2" destOrd="0" presId="urn:microsoft.com/office/officeart/2005/8/layout/vList2"/>
    <dgm:cxn modelId="{32242F65-8755-4B8D-A637-3725FACE63BE}" type="presParOf" srcId="{518D523C-8050-4959-A9CC-B4232700161A}" destId="{AA8A685C-8A29-4A11-9B35-8139690B5169}" srcOrd="3" destOrd="0" presId="urn:microsoft.com/office/officeart/2005/8/layout/vList2"/>
    <dgm:cxn modelId="{357EF76B-C97E-4F6A-B5C7-B387AAE02500}" type="presParOf" srcId="{518D523C-8050-4959-A9CC-B4232700161A}" destId="{A0D9D544-D10C-4C6E-A45F-98C021FAD589}" srcOrd="4" destOrd="0" presId="urn:microsoft.com/office/officeart/2005/8/layout/vList2"/>
    <dgm:cxn modelId="{88AF0292-C91A-42EB-8ECA-1611A4700042}" type="presParOf" srcId="{518D523C-8050-4959-A9CC-B4232700161A}" destId="{C654F957-16D3-4CE7-A658-0B3BD1618ACF}" srcOrd="5" destOrd="0" presId="urn:microsoft.com/office/officeart/2005/8/layout/vList2"/>
    <dgm:cxn modelId="{6ED3CD0F-6B37-4BB5-B3CD-32BA21679F2F}" type="presParOf" srcId="{518D523C-8050-4959-A9CC-B4232700161A}" destId="{BAF64A79-83AC-4FC0-8B70-F4A2F399F8D3}" srcOrd="6" destOrd="0" presId="urn:microsoft.com/office/officeart/2005/8/layout/vList2"/>
    <dgm:cxn modelId="{618AD14A-D701-43D3-8BB6-482638B3EEBD}" type="presParOf" srcId="{518D523C-8050-4959-A9CC-B4232700161A}" destId="{F374B8D4-252C-422E-B637-7D4AA50652C5}" srcOrd="7" destOrd="0" presId="urn:microsoft.com/office/officeart/2005/8/layout/vList2"/>
    <dgm:cxn modelId="{2B138DC1-2FAE-4A32-ACA4-BE5E1A3AC001}" type="presParOf" srcId="{518D523C-8050-4959-A9CC-B4232700161A}" destId="{29638F9F-D303-4778-9D09-45AC42488FFA}" srcOrd="8" destOrd="0" presId="urn:microsoft.com/office/officeart/2005/8/layout/vList2"/>
    <dgm:cxn modelId="{CD4A7A7F-EB1C-4B29-8E23-958A3D2D7DC7}" type="presParOf" srcId="{518D523C-8050-4959-A9CC-B4232700161A}" destId="{B74CE96A-F02D-468E-A22C-4AB584FB3D99}" srcOrd="9" destOrd="0" presId="urn:microsoft.com/office/officeart/2005/8/layout/vList2"/>
    <dgm:cxn modelId="{A65248D1-BBA3-43A2-A4AC-D5EB10FB1D84}" type="presParOf" srcId="{518D523C-8050-4959-A9CC-B4232700161A}" destId="{DCC5F4F7-E609-4884-9A98-E682B8DC1A9B}" srcOrd="10" destOrd="0" presId="urn:microsoft.com/office/officeart/2005/8/layout/vList2"/>
    <dgm:cxn modelId="{DD4D83D9-C2AB-4647-9F30-E67F7E8DB90A}" type="presParOf" srcId="{518D523C-8050-4959-A9CC-B4232700161A}" destId="{CBC4F393-E43E-47A2-887B-F12BD9595B7F}" srcOrd="11" destOrd="0" presId="urn:microsoft.com/office/officeart/2005/8/layout/vList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C4E3111-BF38-4B3A-BAAC-64B38C979363}">
      <dsp:nvSpPr>
        <dsp:cNvPr id="0" name=""/>
        <dsp:cNvSpPr/>
      </dsp:nvSpPr>
      <dsp:spPr>
        <a:xfrm rot="5400000">
          <a:off x="985594" y="599584"/>
          <a:ext cx="526565" cy="599476"/>
        </a:xfrm>
        <a:prstGeom prst="bentUpArrow">
          <a:avLst>
            <a:gd name="adj1" fmla="val 32840"/>
            <a:gd name="adj2" fmla="val 25000"/>
            <a:gd name="adj3" fmla="val 35780"/>
          </a:avLst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1">
          <a:scrgbClr r="0" g="0" b="0"/>
        </a:fillRef>
        <a:effectRef idx="3">
          <a:scrgbClr r="0" g="0" b="0"/>
        </a:effectRef>
        <a:fontRef idx="minor"/>
      </dsp:style>
    </dsp:sp>
    <dsp:sp modelId="{63DC4924-6F47-4A76-B553-7976A2727367}">
      <dsp:nvSpPr>
        <dsp:cNvPr id="0" name=""/>
        <dsp:cNvSpPr/>
      </dsp:nvSpPr>
      <dsp:spPr>
        <a:xfrm>
          <a:off x="846086" y="15876"/>
          <a:ext cx="886426" cy="620470"/>
        </a:xfrm>
        <a:prstGeom prst="roundRect">
          <a:avLst>
            <a:gd name="adj" fmla="val 16670"/>
          </a:avLst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900" kern="1200"/>
            <a:t>INPUT PENERIMAAN</a:t>
          </a:r>
        </a:p>
      </dsp:txBody>
      <dsp:txXfrm>
        <a:off x="876380" y="46170"/>
        <a:ext cx="825838" cy="559882"/>
      </dsp:txXfrm>
    </dsp:sp>
    <dsp:sp modelId="{BD04C81A-9CAD-4103-B99B-4940D3E4A237}">
      <dsp:nvSpPr>
        <dsp:cNvPr id="0" name=""/>
        <dsp:cNvSpPr/>
      </dsp:nvSpPr>
      <dsp:spPr>
        <a:xfrm>
          <a:off x="1757237" y="111159"/>
          <a:ext cx="1619595" cy="501491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ID" sz="1100" kern="1200"/>
            <a:t>Penerimaan Petty Cash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ID" sz="1100" kern="1200"/>
            <a:t>Penerimaan Bank</a:t>
          </a:r>
        </a:p>
      </dsp:txBody>
      <dsp:txXfrm>
        <a:off x="1757237" y="111159"/>
        <a:ext cx="1619595" cy="501491"/>
      </dsp:txXfrm>
    </dsp:sp>
    <dsp:sp modelId="{7F5FC65E-5865-46DD-957C-C1AE84619927}">
      <dsp:nvSpPr>
        <dsp:cNvPr id="0" name=""/>
        <dsp:cNvSpPr/>
      </dsp:nvSpPr>
      <dsp:spPr>
        <a:xfrm rot="5400000">
          <a:off x="1954510" y="1296577"/>
          <a:ext cx="526565" cy="599476"/>
        </a:xfrm>
        <a:prstGeom prst="bentUpArrow">
          <a:avLst>
            <a:gd name="adj1" fmla="val 32840"/>
            <a:gd name="adj2" fmla="val 25000"/>
            <a:gd name="adj3" fmla="val 35780"/>
          </a:avLst>
        </a:prstGeom>
        <a:solidFill>
          <a:schemeClr val="accent1">
            <a:tint val="50000"/>
            <a:hueOff val="-6359532"/>
            <a:satOff val="17037"/>
            <a:lumOff val="6188"/>
            <a:alphaOff val="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1">
          <a:scrgbClr r="0" g="0" b="0"/>
        </a:fillRef>
        <a:effectRef idx="3">
          <a:scrgbClr r="0" g="0" b="0"/>
        </a:effectRef>
        <a:fontRef idx="minor"/>
      </dsp:style>
    </dsp:sp>
    <dsp:sp modelId="{5C509E50-280B-41F4-BCD8-D09FE8E8706E}">
      <dsp:nvSpPr>
        <dsp:cNvPr id="0" name=""/>
        <dsp:cNvSpPr/>
      </dsp:nvSpPr>
      <dsp:spPr>
        <a:xfrm>
          <a:off x="1815002" y="712868"/>
          <a:ext cx="886426" cy="620470"/>
        </a:xfrm>
        <a:prstGeom prst="roundRect">
          <a:avLst>
            <a:gd name="adj" fmla="val 16670"/>
          </a:avLst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900" kern="1200"/>
            <a:t>INPUT PENGELUARAN</a:t>
          </a:r>
        </a:p>
      </dsp:txBody>
      <dsp:txXfrm>
        <a:off x="1845296" y="743162"/>
        <a:ext cx="825838" cy="559882"/>
      </dsp:txXfrm>
    </dsp:sp>
    <dsp:sp modelId="{34029168-87D0-4D25-AA6E-85163071008B}">
      <dsp:nvSpPr>
        <dsp:cNvPr id="0" name=""/>
        <dsp:cNvSpPr/>
      </dsp:nvSpPr>
      <dsp:spPr>
        <a:xfrm>
          <a:off x="2742158" y="807073"/>
          <a:ext cx="1841586" cy="462926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ID" sz="1100" kern="1200"/>
            <a:t>Pengeluaran Petty Cash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ID" sz="1100" kern="1200"/>
            <a:t>Pengeluaran Bank</a:t>
          </a:r>
        </a:p>
      </dsp:txBody>
      <dsp:txXfrm>
        <a:off x="2742158" y="807073"/>
        <a:ext cx="1841586" cy="462926"/>
      </dsp:txXfrm>
    </dsp:sp>
    <dsp:sp modelId="{A961EE99-0569-4AAA-80A3-F9367A300796}">
      <dsp:nvSpPr>
        <dsp:cNvPr id="0" name=""/>
        <dsp:cNvSpPr/>
      </dsp:nvSpPr>
      <dsp:spPr>
        <a:xfrm rot="5400000">
          <a:off x="3086750" y="2018971"/>
          <a:ext cx="526565" cy="599476"/>
        </a:xfrm>
        <a:prstGeom prst="bentUpArrow">
          <a:avLst>
            <a:gd name="adj1" fmla="val 32840"/>
            <a:gd name="adj2" fmla="val 25000"/>
            <a:gd name="adj3" fmla="val 35780"/>
          </a:avLst>
        </a:prstGeom>
        <a:solidFill>
          <a:schemeClr val="accent1">
            <a:tint val="50000"/>
            <a:hueOff val="-12719064"/>
            <a:satOff val="34075"/>
            <a:lumOff val="12376"/>
            <a:alphaOff val="0"/>
          </a:schemeClr>
        </a:soli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1">
          <a:scrgbClr r="0" g="0" b="0"/>
        </a:fillRef>
        <a:effectRef idx="3">
          <a:scrgbClr r="0" g="0" b="0"/>
        </a:effectRef>
        <a:fontRef idx="minor"/>
      </dsp:style>
    </dsp:sp>
    <dsp:sp modelId="{72B32456-E922-4D19-B34F-65BFC11E3499}">
      <dsp:nvSpPr>
        <dsp:cNvPr id="0" name=""/>
        <dsp:cNvSpPr/>
      </dsp:nvSpPr>
      <dsp:spPr>
        <a:xfrm>
          <a:off x="2794845" y="1416214"/>
          <a:ext cx="886426" cy="620470"/>
        </a:xfrm>
        <a:prstGeom prst="roundRect">
          <a:avLst>
            <a:gd name="adj" fmla="val 16670"/>
          </a:avLst>
        </a:prstGeom>
        <a:gradFill rotWithShape="0">
          <a:gsLst>
            <a:gs pos="0">
              <a:schemeClr val="accent4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4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4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900" kern="1200"/>
            <a:t>UANG MUKA KEGIATAN</a:t>
          </a:r>
        </a:p>
      </dsp:txBody>
      <dsp:txXfrm>
        <a:off x="2825139" y="1446508"/>
        <a:ext cx="825838" cy="559882"/>
      </dsp:txXfrm>
    </dsp:sp>
    <dsp:sp modelId="{7B02CDD7-B3CC-4CBC-B51F-57E0BADC6FAE}">
      <dsp:nvSpPr>
        <dsp:cNvPr id="0" name=""/>
        <dsp:cNvSpPr/>
      </dsp:nvSpPr>
      <dsp:spPr>
        <a:xfrm>
          <a:off x="3717364" y="1475391"/>
          <a:ext cx="3201398" cy="501491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ID" sz="1100" kern="1200"/>
            <a:t>Pengajuan Uang Muka kegiatan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ID" sz="1100" kern="1200"/>
            <a:t>Realisasi Uang Muka kegiatan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ID" sz="1100" kern="1200"/>
            <a:t>LPJ uang muka kegiatan</a:t>
          </a:r>
        </a:p>
      </dsp:txBody>
      <dsp:txXfrm>
        <a:off x="3717364" y="1475391"/>
        <a:ext cx="3201398" cy="501491"/>
      </dsp:txXfrm>
    </dsp:sp>
    <dsp:sp modelId="{F3F4D630-1A52-49E6-A4AB-6DC9F71E98A3}">
      <dsp:nvSpPr>
        <dsp:cNvPr id="0" name=""/>
        <dsp:cNvSpPr/>
      </dsp:nvSpPr>
      <dsp:spPr>
        <a:xfrm>
          <a:off x="3729162" y="2100506"/>
          <a:ext cx="886426" cy="620470"/>
        </a:xfrm>
        <a:prstGeom prst="roundRect">
          <a:avLst>
            <a:gd name="adj" fmla="val 16670"/>
          </a:avLst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900" kern="1200"/>
            <a:t>REPORTING</a:t>
          </a:r>
        </a:p>
      </dsp:txBody>
      <dsp:txXfrm>
        <a:off x="3759456" y="2130800"/>
        <a:ext cx="825838" cy="559882"/>
      </dsp:txXfrm>
    </dsp:sp>
    <dsp:sp modelId="{ACABECAE-67FC-4322-A952-447826819FAD}">
      <dsp:nvSpPr>
        <dsp:cNvPr id="0" name=""/>
        <dsp:cNvSpPr/>
      </dsp:nvSpPr>
      <dsp:spPr>
        <a:xfrm>
          <a:off x="4598922" y="2164394"/>
          <a:ext cx="3017903" cy="501491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ID" sz="1100" kern="1200"/>
            <a:t>Laporan Cashflow bulan ini dan perbandingan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ID" sz="1100" kern="1200"/>
            <a:t>Laporan saldo Bank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ID" sz="1100" kern="1200"/>
            <a:t>Laporan Saldo Kas  Kecil 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ID" sz="1100" kern="1200"/>
            <a:t>Laporan Uang Muka Kegiatan</a:t>
          </a:r>
        </a:p>
      </dsp:txBody>
      <dsp:txXfrm>
        <a:off x="4598922" y="2164394"/>
        <a:ext cx="3017903" cy="501491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A703DE1-2CEC-4413-94C1-05A45C42DF82}">
      <dsp:nvSpPr>
        <dsp:cNvPr id="0" name=""/>
        <dsp:cNvSpPr/>
      </dsp:nvSpPr>
      <dsp:spPr>
        <a:xfrm>
          <a:off x="0" y="16335"/>
          <a:ext cx="3508375" cy="335790"/>
        </a:xfrm>
        <a:prstGeom prst="round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400" kern="1200"/>
            <a:t>DASHBOARD</a:t>
          </a:r>
        </a:p>
      </dsp:txBody>
      <dsp:txXfrm>
        <a:off x="16392" y="32727"/>
        <a:ext cx="3475591" cy="303006"/>
      </dsp:txXfrm>
    </dsp:sp>
    <dsp:sp modelId="{C157CFD3-516F-40E0-9A0D-30B5B189707B}">
      <dsp:nvSpPr>
        <dsp:cNvPr id="0" name=""/>
        <dsp:cNvSpPr/>
      </dsp:nvSpPr>
      <dsp:spPr>
        <a:xfrm>
          <a:off x="0" y="352125"/>
          <a:ext cx="3508375" cy="753480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1391" tIns="17780" rIns="99568" bIns="17780" numCol="1" spcCol="1270" anchor="t" anchorCtr="0">
          <a:noAutofit/>
        </a:bodyPr>
        <a:lstStyle/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Saldo Kas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Saldo Bank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Penerimaan Bulan Ini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Pengeluaran Bulan Ini</a:t>
          </a:r>
        </a:p>
      </dsp:txBody>
      <dsp:txXfrm>
        <a:off x="0" y="352125"/>
        <a:ext cx="3508375" cy="753480"/>
      </dsp:txXfrm>
    </dsp:sp>
    <dsp:sp modelId="{CFC36606-A1AD-4FCE-A364-11A0BD6A4374}">
      <dsp:nvSpPr>
        <dsp:cNvPr id="0" name=""/>
        <dsp:cNvSpPr/>
      </dsp:nvSpPr>
      <dsp:spPr>
        <a:xfrm>
          <a:off x="0" y="1105605"/>
          <a:ext cx="3508375" cy="335790"/>
        </a:xfrm>
        <a:prstGeom prst="roundRect">
          <a:avLst/>
        </a:prstGeom>
        <a:solidFill>
          <a:schemeClr val="accent4">
            <a:hueOff val="1960178"/>
            <a:satOff val="-8155"/>
            <a:lumOff val="1922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400" kern="1200"/>
            <a:t>PENERIMAAN</a:t>
          </a:r>
        </a:p>
      </dsp:txBody>
      <dsp:txXfrm>
        <a:off x="16392" y="1121997"/>
        <a:ext cx="3475591" cy="303006"/>
      </dsp:txXfrm>
    </dsp:sp>
    <dsp:sp modelId="{AA8A685C-8A29-4A11-9B35-8139690B5169}">
      <dsp:nvSpPr>
        <dsp:cNvPr id="0" name=""/>
        <dsp:cNvSpPr/>
      </dsp:nvSpPr>
      <dsp:spPr>
        <a:xfrm>
          <a:off x="0" y="1441395"/>
          <a:ext cx="3508375" cy="376740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1391" tIns="17780" rIns="99568" bIns="17780" numCol="1" spcCol="1270" anchor="t" anchorCtr="0">
          <a:noAutofit/>
        </a:bodyPr>
        <a:lstStyle/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Kas Kecil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Bank</a:t>
          </a:r>
        </a:p>
      </dsp:txBody>
      <dsp:txXfrm>
        <a:off x="0" y="1441395"/>
        <a:ext cx="3508375" cy="376740"/>
      </dsp:txXfrm>
    </dsp:sp>
    <dsp:sp modelId="{A0D9D544-D10C-4C6E-A45F-98C021FAD589}">
      <dsp:nvSpPr>
        <dsp:cNvPr id="0" name=""/>
        <dsp:cNvSpPr/>
      </dsp:nvSpPr>
      <dsp:spPr>
        <a:xfrm>
          <a:off x="0" y="1818135"/>
          <a:ext cx="3508375" cy="335790"/>
        </a:xfrm>
        <a:prstGeom prst="roundRect">
          <a:avLst/>
        </a:prstGeom>
        <a:solidFill>
          <a:schemeClr val="accent4">
            <a:hueOff val="3920356"/>
            <a:satOff val="-16311"/>
            <a:lumOff val="3843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400" kern="1200"/>
            <a:t>PENGELUARAN</a:t>
          </a:r>
        </a:p>
      </dsp:txBody>
      <dsp:txXfrm>
        <a:off x="16392" y="1834527"/>
        <a:ext cx="3475591" cy="303006"/>
      </dsp:txXfrm>
    </dsp:sp>
    <dsp:sp modelId="{C654F957-16D3-4CE7-A658-0B3BD1618ACF}">
      <dsp:nvSpPr>
        <dsp:cNvPr id="0" name=""/>
        <dsp:cNvSpPr/>
      </dsp:nvSpPr>
      <dsp:spPr>
        <a:xfrm>
          <a:off x="0" y="2153925"/>
          <a:ext cx="3508375" cy="376740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1391" tIns="17780" rIns="99568" bIns="17780" numCol="1" spcCol="1270" anchor="t" anchorCtr="0">
          <a:noAutofit/>
        </a:bodyPr>
        <a:lstStyle/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Kas Kecil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Bank</a:t>
          </a:r>
        </a:p>
      </dsp:txBody>
      <dsp:txXfrm>
        <a:off x="0" y="2153925"/>
        <a:ext cx="3508375" cy="376740"/>
      </dsp:txXfrm>
    </dsp:sp>
    <dsp:sp modelId="{BAF64A79-83AC-4FC0-8B70-F4A2F399F8D3}">
      <dsp:nvSpPr>
        <dsp:cNvPr id="0" name=""/>
        <dsp:cNvSpPr/>
      </dsp:nvSpPr>
      <dsp:spPr>
        <a:xfrm>
          <a:off x="0" y="2530665"/>
          <a:ext cx="3508375" cy="335790"/>
        </a:xfrm>
        <a:prstGeom prst="roundRect">
          <a:avLst/>
        </a:prstGeom>
        <a:solidFill>
          <a:schemeClr val="accent4">
            <a:hueOff val="5880535"/>
            <a:satOff val="-24466"/>
            <a:lumOff val="5765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400" kern="1200"/>
            <a:t>UANG MUKA KEGIATAN</a:t>
          </a:r>
        </a:p>
      </dsp:txBody>
      <dsp:txXfrm>
        <a:off x="16392" y="2547057"/>
        <a:ext cx="3475591" cy="303006"/>
      </dsp:txXfrm>
    </dsp:sp>
    <dsp:sp modelId="{F374B8D4-252C-422E-B637-7D4AA50652C5}">
      <dsp:nvSpPr>
        <dsp:cNvPr id="0" name=""/>
        <dsp:cNvSpPr/>
      </dsp:nvSpPr>
      <dsp:spPr>
        <a:xfrm>
          <a:off x="0" y="2866455"/>
          <a:ext cx="3508375" cy="565110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1391" tIns="17780" rIns="99568" bIns="17780" numCol="1" spcCol="1270" anchor="t" anchorCtr="0">
          <a:noAutofit/>
        </a:bodyPr>
        <a:lstStyle/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Pengajuan UMK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Realisasi UMK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Laporan UMK</a:t>
          </a:r>
        </a:p>
      </dsp:txBody>
      <dsp:txXfrm>
        <a:off x="0" y="2866455"/>
        <a:ext cx="3508375" cy="565110"/>
      </dsp:txXfrm>
    </dsp:sp>
    <dsp:sp modelId="{29638F9F-D303-4778-9D09-45AC42488FFA}">
      <dsp:nvSpPr>
        <dsp:cNvPr id="0" name=""/>
        <dsp:cNvSpPr/>
      </dsp:nvSpPr>
      <dsp:spPr>
        <a:xfrm>
          <a:off x="0" y="3431565"/>
          <a:ext cx="3508375" cy="335790"/>
        </a:xfrm>
        <a:prstGeom prst="roundRect">
          <a:avLst/>
        </a:prstGeom>
        <a:solidFill>
          <a:schemeClr val="accent4">
            <a:hueOff val="7840713"/>
            <a:satOff val="-32622"/>
            <a:lumOff val="7686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400" kern="1200"/>
            <a:t>REPORT</a:t>
          </a:r>
        </a:p>
      </dsp:txBody>
      <dsp:txXfrm>
        <a:off x="16392" y="3447957"/>
        <a:ext cx="3475591" cy="303006"/>
      </dsp:txXfrm>
    </dsp:sp>
    <dsp:sp modelId="{B74CE96A-F02D-468E-A22C-4AB584FB3D99}">
      <dsp:nvSpPr>
        <dsp:cNvPr id="0" name=""/>
        <dsp:cNvSpPr/>
      </dsp:nvSpPr>
      <dsp:spPr>
        <a:xfrm>
          <a:off x="0" y="3767355"/>
          <a:ext cx="3508375" cy="753480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1391" tIns="17780" rIns="99568" bIns="17780" numCol="1" spcCol="1270" anchor="t" anchorCtr="0">
          <a:noAutofit/>
        </a:bodyPr>
        <a:lstStyle/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Cashflow Bulan Ini dan Periodik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Saldo Bank dan mutasi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Saldo Kas Kecil dan mutasi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UMK (Pengajuan, Realisasi (SUR/DEV) , Outstanding)</a:t>
          </a:r>
        </a:p>
      </dsp:txBody>
      <dsp:txXfrm>
        <a:off x="0" y="3767355"/>
        <a:ext cx="3508375" cy="753480"/>
      </dsp:txXfrm>
    </dsp:sp>
    <dsp:sp modelId="{DCC5F4F7-E609-4884-9A98-E682B8DC1A9B}">
      <dsp:nvSpPr>
        <dsp:cNvPr id="0" name=""/>
        <dsp:cNvSpPr/>
      </dsp:nvSpPr>
      <dsp:spPr>
        <a:xfrm>
          <a:off x="0" y="4520835"/>
          <a:ext cx="3508375" cy="335790"/>
        </a:xfrm>
        <a:prstGeom prst="roundRect">
          <a:avLst/>
        </a:prstGeom>
        <a:solidFill>
          <a:schemeClr val="accent4">
            <a:hueOff val="9800891"/>
            <a:satOff val="-40777"/>
            <a:lumOff val="9608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400" kern="1200"/>
            <a:t>PENGATURAN</a:t>
          </a:r>
        </a:p>
      </dsp:txBody>
      <dsp:txXfrm>
        <a:off x="16392" y="4537227"/>
        <a:ext cx="3475591" cy="303006"/>
      </dsp:txXfrm>
    </dsp:sp>
    <dsp:sp modelId="{CBC4F393-E43E-47A2-887B-F12BD9595B7F}">
      <dsp:nvSpPr>
        <dsp:cNvPr id="0" name=""/>
        <dsp:cNvSpPr/>
      </dsp:nvSpPr>
      <dsp:spPr>
        <a:xfrm>
          <a:off x="0" y="4856625"/>
          <a:ext cx="3508375" cy="956340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11391" tIns="17780" rIns="99568" bIns="17780" numCol="1" spcCol="1270" anchor="t" anchorCtr="0">
          <a:noAutofit/>
        </a:bodyPr>
        <a:lstStyle/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Anggota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Kelas Iur RS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COA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User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20000"/>
            </a:spcAft>
            <a:buChar char="•"/>
          </a:pPr>
          <a:r>
            <a:rPr lang="en-ID" sz="1100" kern="1200"/>
            <a:t>Saldo Awal</a:t>
          </a:r>
        </a:p>
      </dsp:txBody>
      <dsp:txXfrm>
        <a:off x="0" y="4856625"/>
        <a:ext cx="3508375" cy="95634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StepDownProcess">
  <dgm:title val=""/>
  <dgm:desc val=""/>
  <dgm:catLst>
    <dgm:cat type="process" pri="1600"/>
  </dgm:catLst>
  <dgm:sampData>
    <dgm:dataModel>
      <dgm:ptLst>
        <dgm:pt modelId="0" type="doc"/>
        <dgm:pt modelId="10">
          <dgm:prSet phldr="1"/>
        </dgm:pt>
        <dgm:pt modelId="11">
          <dgm:prSet phldr="1"/>
        </dgm:pt>
        <dgm:pt modelId="20">
          <dgm:prSet phldr="1"/>
        </dgm:pt>
        <dgm:pt modelId="21">
          <dgm:prSet phldr="1"/>
        </dgm:pt>
        <dgm:pt modelId="30">
          <dgm:prSet phldr="1"/>
        </dgm:pt>
        <dgm:pt modelId="31">
          <dgm:prSet phldr="1"/>
        </dgm:pt>
      </dgm:ptLst>
      <dgm:cxnLst>
        <dgm:cxn modelId="60" srcId="0" destId="10" srcOrd="0" destOrd="0"/>
        <dgm:cxn modelId="12" srcId="10" destId="11" srcOrd="0" destOrd="0"/>
        <dgm:cxn modelId="70" srcId="0" destId="20" srcOrd="1" destOrd="0"/>
        <dgm:cxn modelId="22" srcId="20" destId="21" srcOrd="0" destOrd="0"/>
        <dgm:cxn modelId="80" srcId="0" destId="30" srcOrd="2" destOrd="0"/>
        <dgm:cxn modelId="32" srcId="30" destId="31" srcOrd="0" destOrd="0"/>
      </dgm:cxnLst>
      <dgm:bg/>
      <dgm:whole/>
    </dgm:dataModel>
  </dgm:sampData>
  <dgm:styleData>
    <dgm:dataModel>
      <dgm:ptLst>
        <dgm:pt modelId="0" type="doc"/>
        <dgm:pt modelId="10">
          <dgm:prSet phldr="1"/>
        </dgm:pt>
        <dgm:pt modelId="20">
          <dgm:prSet phldr="1"/>
        </dgm:pt>
      </dgm:ptLst>
      <dgm:cxnLst>
        <dgm:cxn modelId="60" srcId="0" destId="10" srcOrd="0" destOrd="0"/>
        <dgm:cxn modelId="70" srcId="0" destId="20" srcOrd="1" destOrd="0"/>
      </dgm:cxnLst>
      <dgm:bg/>
      <dgm:whole/>
    </dgm:dataModel>
  </dgm:styleData>
  <dgm:clrData>
    <dgm:dataModel>
      <dgm:ptLst>
        <dgm:pt modelId="0" type="doc"/>
        <dgm:pt modelId="10">
          <dgm:prSet phldr="1"/>
        </dgm:pt>
        <dgm:pt modelId="20">
          <dgm:prSet phldr="1"/>
        </dgm:pt>
        <dgm:pt modelId="30">
          <dgm:prSet phldr="1"/>
        </dgm:pt>
        <dgm:pt modelId="40">
          <dgm:prSet phldr="1"/>
        </dgm:pt>
      </dgm:ptLst>
      <dgm:cxnLst>
        <dgm:cxn modelId="60" srcId="0" destId="10" srcOrd="0" destOrd="0"/>
        <dgm:cxn modelId="70" srcId="0" destId="20" srcOrd="1" destOrd="0"/>
        <dgm:cxn modelId="80" srcId="0" destId="30" srcOrd="2" destOrd="0"/>
        <dgm:cxn modelId="90" srcId="0" destId="40" srcOrd="3" destOrd="0"/>
      </dgm:cxnLst>
      <dgm:bg/>
      <dgm:whole/>
    </dgm:dataModel>
  </dgm:clrData>
  <dgm:layoutNode name="rootnode">
    <dgm:varLst>
      <dgm:chMax/>
      <dgm:chPref/>
      <dgm:dir/>
      <dgm:animLvl val="lvl"/>
    </dgm:varLst>
    <dgm:choose name="Name0">
      <dgm:if name="Name1" func="var" arg="dir" op="equ" val="norm">
        <dgm:alg type="snake">
          <dgm:param type="grDir" val="tL"/>
          <dgm:param type="flowDir" val="row"/>
          <dgm:param type="off" val="off"/>
          <dgm:param type="bkpt" val="fixed"/>
          <dgm:param type="bkPtFixedVal" val="1"/>
        </dgm:alg>
      </dgm:if>
      <dgm:else name="Name2">
        <dgm:alg type="snake">
          <dgm:param type="grDir" val="tR"/>
          <dgm:param type="flowDir" val="row"/>
          <dgm:param type="off" val="off"/>
          <dgm:param type="bkpt" val="fixed"/>
          <dgm:param type="bkPtFixedVal" val="1"/>
        </dgm:alg>
      </dgm:else>
    </dgm:choose>
    <dgm:shape xmlns:r="http://schemas.openxmlformats.org/officeDocument/2006/relationships" r:blip="">
      <dgm:adjLst/>
    </dgm:shape>
    <dgm:choose name="Name3">
      <dgm:if name="Name4" func="var" arg="dir" op="equ" val="norm">
        <dgm:constrLst>
          <dgm:constr type="alignOff" forName="rootnode" val="0.48"/>
          <dgm:constr type="primFontSz" for="des" forName="ParentText" val="65"/>
          <dgm:constr type="primFontSz" for="des" forName="ChildText" refType="primFontSz" refFor="des" refForName="ParentText" op="lte"/>
          <dgm:constr type="w" for="ch" forName="composite" refType="w"/>
          <dgm:constr type="h" for="ch" forName="composite" refType="h"/>
          <dgm:constr type="sp" refType="h" refFor="ch" refForName="composite" op="equ" fact="-0.38"/>
        </dgm:constrLst>
      </dgm:if>
      <dgm:else name="Name5">
        <dgm:constrLst>
          <dgm:constr type="alignOff" forName="rootnode" val="0.48"/>
          <dgm:constr type="primFontSz" for="des" forName="ParentText" val="65"/>
          <dgm:constr type="primFontSz" for="des" forName="ChildText" refType="primFontSz" refFor="des" refForName="ParentText" op="lte"/>
          <dgm:constr type="w" for="ch" forName="composite" refType="w"/>
          <dgm:constr type="h" for="ch" forName="composite" refType="h"/>
          <dgm:constr type="sp" refType="h" refFor="ch" refForName="composite" op="equ" fact="-0.38"/>
        </dgm:constrLst>
      </dgm:else>
    </dgm:choose>
    <dgm:forEach name="nodesForEach" axis="ch" ptType="node">
      <dgm:layoutNode name="composite">
        <dgm:alg type="composite">
          <dgm:param type="ar" val="1.2439"/>
        </dgm:alg>
        <dgm:shape xmlns:r="http://schemas.openxmlformats.org/officeDocument/2006/relationships" r:blip="">
          <dgm:adjLst/>
        </dgm:shape>
        <dgm:choose name="Name6">
          <dgm:if name="Name7" func="var" arg="dir" op="equ" val="norm">
            <dgm:constrLst>
              <dgm:constr type="l" for="ch" forName="bentUpArrow1" refType="w" fact="0.07"/>
              <dgm:constr type="t" for="ch" forName="bentUpArrow1" refType="h" fact="0.524"/>
              <dgm:constr type="w" for="ch" forName="bentUpArrow1" refType="w" fact="0.3844"/>
              <dgm:constr type="h" for="ch" forName="bentUpArrow1" refType="h" fact="0.42"/>
              <dgm:constr type="l" for="ch" forName="ParentText" refType="w" fact="0"/>
              <dgm:constr type="t" for="ch" forName="ParentText" refType="h" fact="0"/>
              <dgm:constr type="w" for="ch" forName="ParentText" refType="w" fact="0.5684"/>
              <dgm:constr type="h" for="ch" forName="ParentText" refType="h" fact="0.4949"/>
              <dgm:constr type="l" for="ch" forName="ChildText" refType="w" refFor="ch" refForName="ParentText"/>
              <dgm:constr type="t" for="ch" forName="ChildText" refType="h" fact="0.05"/>
              <dgm:constr type="w" for="ch" forName="ChildText" refType="w" fact="0.4134"/>
              <dgm:constr type="h" for="ch" forName="ChildText" refType="h" fact="0.4"/>
              <dgm:constr type="l" for="ch" forName="FinalChildText" refType="w" refFor="ch" refForName="ParentText"/>
              <dgm:constr type="t" for="ch" forName="FinalChildText" refType="h" fact="0.05"/>
              <dgm:constr type="w" for="ch" forName="FinalChildText" refType="w" fact="0.4134"/>
              <dgm:constr type="h" for="ch" forName="FinalChildText" refType="h" fact="0.4"/>
            </dgm:constrLst>
          </dgm:if>
          <dgm:else name="Name8">
            <dgm:constrLst>
              <dgm:constr type="r" for="ch" forName="bentUpArrow1" refType="w" fact="0.97"/>
              <dgm:constr type="t" for="ch" forName="bentUpArrow1" refType="h" fact="0.524"/>
              <dgm:constr type="w" for="ch" forName="bentUpArrow1" refType="w" fact="0.3844"/>
              <dgm:constr type="h" for="ch" forName="bentUpArrow1" refType="h" fact="0.42"/>
              <dgm:constr type="l" for="ch" forName="ParentText" refType="w" fact="0.4316"/>
              <dgm:constr type="t" for="ch" forName="ParentText" refType="h" fact="0"/>
              <dgm:constr type="w" for="ch" forName="ParentText" refType="w" fact="0.5684"/>
              <dgm:constr type="h" for="ch" forName="ParentText" refType="h" fact="0.4949"/>
              <dgm:constr type="l" for="ch" forName="ChildText" refType="w" fact="0"/>
              <dgm:constr type="t" for="ch" forName="ChildText" refType="h" fact="0.05"/>
              <dgm:constr type="w" for="ch" forName="ChildText" refType="w" fact="0.4134"/>
              <dgm:constr type="h" for="ch" forName="ChildText" refType="h" fact="0.4"/>
              <dgm:constr type="l" for="ch" forName="FinalChildText" refType="w" fact="0"/>
              <dgm:constr type="t" for="ch" forName="FinalChildText" refType="h" fact="0.05"/>
              <dgm:constr type="w" for="ch" forName="FinalChildText" refType="w" fact="0.4134"/>
              <dgm:constr type="h" for="ch" forName="FinalChildText" refType="h" fact="0.4"/>
            </dgm:constrLst>
          </dgm:else>
        </dgm:choose>
        <dgm:choose name="Name9">
          <dgm:if name="Name10" axis="followSib" ptType="node" func="cnt" op="gte" val="1">
            <dgm:layoutNode name="bentUpArrow1" styleLbl="alignImgPlace1">
              <dgm:alg type="sp"/>
              <dgm:choose name="Name11">
                <dgm:if name="Name12" func="var" arg="dir" op="equ" val="norm">
                  <dgm:shape xmlns:r="http://schemas.openxmlformats.org/officeDocument/2006/relationships" rot="90" type="bentUpArrow" r:blip="">
                    <dgm:adjLst>
                      <dgm:adj idx="1" val="0.3284"/>
                      <dgm:adj idx="2" val="0.25"/>
                      <dgm:adj idx="3" val="0.3578"/>
                    </dgm:adjLst>
                  </dgm:shape>
                </dgm:if>
                <dgm:else name="Name13">
                  <dgm:shape xmlns:r="http://schemas.openxmlformats.org/officeDocument/2006/relationships" rot="180" type="bentArrow" r:blip="">
                    <dgm:adjLst>
                      <dgm:adj idx="1" val="0.3284"/>
                      <dgm:adj idx="2" val="0.25"/>
                      <dgm:adj idx="3" val="0.3578"/>
                      <dgm:adj idx="4" val="0"/>
                    </dgm:adjLst>
                  </dgm:shape>
                </dgm:else>
              </dgm:choose>
              <dgm:presOf/>
            </dgm:layoutNode>
          </dgm:if>
          <dgm:else name="Name14"/>
        </dgm:choose>
        <dgm:layoutNode name="ParentText" styleLbl="node1">
          <dgm:varLst>
            <dgm:chMax val="1"/>
            <dgm:chPref val="1"/>
            <dgm:bulletEnabled val="1"/>
          </dgm:varLst>
          <dgm:alg type="tx"/>
          <dgm:shape xmlns:r="http://schemas.openxmlformats.org/officeDocument/2006/relationships" type="roundRect" r:blip="">
            <dgm:adjLst>
              <dgm:adj idx="1" val="0.1667"/>
            </dgm:adjLst>
          </dgm:shape>
          <dgm:presOf axis="self" ptType="node"/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choose name="Name15">
          <dgm:if name="Name16" axis="followSib" ptType="node" func="cnt" op="equ" val="0">
            <dgm:choose name="Name17">
              <dgm:if name="Name18" axis="ch" ptType="node" func="cnt" op="gte" val="1">
                <dgm:layoutNode name="FinalChildText" styleLbl="revTx">
                  <dgm:varLst>
                    <dgm:chMax val="0"/>
                    <dgm:chPref val="0"/>
                    <dgm:bulletEnabled val="1"/>
                  </dgm:varLst>
                  <dgm:alg type="tx">
                    <dgm:param type="stBulletLvl" val="1"/>
                    <dgm:param type="txAnchorVertCh" val="mid"/>
                    <dgm:param type="parTxLTRAlign" val="l"/>
                  </dgm:alg>
                  <dgm:shape xmlns:r="http://schemas.openxmlformats.org/officeDocument/2006/relationships" type="rect" r:blip="">
                    <dgm:adjLst/>
                  </dgm:shape>
                  <dgm:presOf axis="des" ptType="node"/>
                  <dgm:constrLst>
                    <dgm:constr type="lMarg" refType="primFontSz" fact="0.3"/>
                    <dgm:constr type="rMarg" refType="primFontSz" fact="0.3"/>
                    <dgm:constr type="tMarg" refType="primFontSz" fact="0.3"/>
                    <dgm:constr type="bMarg" refType="primFontSz" fact="0.3"/>
                  </dgm:constrLst>
                  <dgm:ruleLst>
                    <dgm:rule type="primFontSz" val="5" fact="NaN" max="NaN"/>
                  </dgm:ruleLst>
                </dgm:layoutNode>
              </dgm:if>
              <dgm:else name="Name19"/>
            </dgm:choose>
          </dgm:if>
          <dgm:else name="Name20">
            <dgm:layoutNode name="ChildText" styleLbl="revTx">
              <dgm:varLst>
                <dgm:chMax val="0"/>
                <dgm:chPref val="0"/>
                <dgm:bulletEnabled val="1"/>
              </dgm:varLst>
              <dgm:alg type="tx">
                <dgm:param type="stBulletLvl" val="1"/>
                <dgm:param type="txAnchorVertCh" val="mid"/>
                <dgm:param type="parTxLTRAlign" val="l"/>
              </dgm:alg>
              <dgm:shape xmlns:r="http://schemas.openxmlformats.org/officeDocument/2006/relationships" type="rect" r:blip="">
                <dgm:adjLst/>
              </dgm:shape>
              <dgm:presOf axis="des" ptType="node"/>
              <dgm:constrLst>
                <dgm:constr type="lMarg" refType="primFontSz" fact="0.3"/>
                <dgm:constr type="rMarg" refType="primFontSz" fact="0.3"/>
                <dgm:constr type="tMarg" refType="primFontSz" fact="0.3"/>
                <dgm:constr type="bMarg" refType="primFontSz" fact="0.3"/>
              </dgm:constrLst>
              <dgm:ruleLst>
                <dgm:rule type="primFontSz" val="5" fact="NaN" max="NaN"/>
              </dgm:ruleLst>
            </dgm:layoutNode>
          </dgm:else>
        </dgm:choose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vList2">
  <dgm:title val=""/>
  <dgm:desc val=""/>
  <dgm:catLst>
    <dgm:cat type="list" pri="3000"/>
    <dgm:cat type="convert" pri="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</dgm:ptLst>
      <dgm:cxnLst>
        <dgm:cxn modelId="4" srcId="0" destId="1" srcOrd="0" destOrd="0"/>
        <dgm:cxn modelId="5" srcId="0" destId="2" srcOrd="1" destOrd="0"/>
        <dgm:cxn modelId="12" srcId="1" destId="11" srcOrd="0" destOrd="0"/>
        <dgm:cxn modelId="23" srcId="2" destId="2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animLvl val="lvl"/>
      <dgm:resizeHandles val="exact"/>
    </dgm:varLst>
    <dgm:alg type="lin">
      <dgm:param type="linDir" val="fromT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parentText" refType="w"/>
      <dgm:constr type="h" for="ch" forName="parentText" refType="primFontSz" refFor="ch" refForName="parentText" fact="0.52"/>
      <dgm:constr type="w" for="ch" forName="childText" refType="w"/>
      <dgm:constr type="h" for="ch" forName="childText" refType="primFontSz" refFor="ch" refForName="parentText" fact="0.46"/>
      <dgm:constr type="h" for="ch" forName="parentText" op="equ"/>
      <dgm:constr type="primFontSz" for="ch" forName="parentText" op="equ" val="65"/>
      <dgm:constr type="primFontSz" for="ch" forName="childText" refType="primFontSz" refFor="ch" refForName="parentText" op="equ"/>
      <dgm:constr type="h" for="ch" forName="spacer" refType="primFontSz" refFor="ch" refForName="parentText" fact="0.08"/>
    </dgm:constrLst>
    <dgm:ruleLst>
      <dgm:rule type="primFontSz" for="ch" forName="parentText" val="5" fact="NaN" max="NaN"/>
    </dgm:ruleLst>
    <dgm:forEach name="Name0" axis="ch" ptType="node">
      <dgm:layoutNode name="parentText" styleLbl="node1">
        <dgm:varLst>
          <dgm:chMax val="0"/>
          <dgm:bulletEnabled val="1"/>
        </dgm:varLst>
        <dgm:alg type="tx">
          <dgm:param type="parTxLTRAlign" val="l"/>
          <dgm:param type="parTxRTLAlign" val="r"/>
        </dgm:alg>
        <dgm:shape xmlns:r="http://schemas.openxmlformats.org/officeDocument/2006/relationships" type="roundRect" r:blip="">
          <dgm:adjLst/>
        </dgm:shape>
        <dgm:presOf axis="self"/>
        <dgm:constrLst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h" val="INF" fact="NaN" max="NaN"/>
        </dgm:ruleLst>
      </dgm:layoutNode>
      <dgm:choose name="Name1">
        <dgm:if name="Name2" axis="ch" ptType="node" func="cnt" op="gte" val="1">
          <dgm:layoutNode name="childText" styleLbl="revTx">
            <dgm:varLst>
              <dgm:bulletEnabled val="1"/>
            </dgm:varLst>
            <dgm:alg type="tx">
              <dgm:param type="stBulletLvl" val="1"/>
              <dgm:param type="lnSpAfChP" val="20"/>
            </dgm:alg>
            <dgm:shape xmlns:r="http://schemas.openxmlformats.org/officeDocument/2006/relationships" type="rect" r:blip="">
              <dgm:adjLst/>
            </dgm:shape>
            <dgm:presOf axis="des" ptType="node"/>
            <dgm:constrLst>
              <dgm:constr type="tMarg" refType="primFontSz" fact="0.1"/>
              <dgm:constr type="bMarg" refType="primFontSz" fact="0.1"/>
              <dgm:constr type="lMarg" refType="w" fact="0.09"/>
            </dgm:constrLst>
            <dgm:ruleLst>
              <dgm:rule type="h" val="INF" fact="NaN" max="NaN"/>
            </dgm:ruleLst>
          </dgm:layoutNode>
        </dgm:if>
        <dgm:else name="Name3">
          <dgm:choose name="Name4">
            <dgm:if name="Name5" axis="par ch" ptType="doc node" func="cnt" op="gte" val="2">
              <dgm:forEach name="Name6" axis="followSib" ptType="sibTrans" cnt="1">
                <dgm:layoutNode name="spacer">
                  <dgm:alg type="sp"/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</dgm:layoutNode>
              </dgm:forEach>
            </dgm:if>
            <dgm:else name="Name7"/>
          </dgm:choose>
        </dgm:else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</xdr:row>
      <xdr:rowOff>88900</xdr:rowOff>
    </xdr:from>
    <xdr:to>
      <xdr:col>1</xdr:col>
      <xdr:colOff>412750</xdr:colOff>
      <xdr:row>3</xdr:row>
      <xdr:rowOff>50800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8F647472-46D1-343F-4CE6-2BFECE6A92EB}"/>
            </a:ext>
          </a:extLst>
        </xdr:cNvPr>
        <xdr:cNvSpPr/>
      </xdr:nvSpPr>
      <xdr:spPr>
        <a:xfrm>
          <a:off x="285750" y="273050"/>
          <a:ext cx="736600" cy="330200"/>
        </a:xfrm>
        <a:prstGeom prst="flowChartConnector">
          <a:avLst/>
        </a:prstGeom>
        <a:solidFill>
          <a:schemeClr val="accent4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900" b="1">
              <a:solidFill>
                <a:schemeClr val="tx1"/>
              </a:solidFill>
            </a:rPr>
            <a:t>START</a:t>
          </a:r>
        </a:p>
      </xdr:txBody>
    </xdr:sp>
    <xdr:clientData/>
  </xdr:twoCellAnchor>
  <xdr:twoCellAnchor>
    <xdr:from>
      <xdr:col>2</xdr:col>
      <xdr:colOff>196850</xdr:colOff>
      <xdr:row>1</xdr:row>
      <xdr:rowOff>19050</xdr:rowOff>
    </xdr:from>
    <xdr:to>
      <xdr:col>3</xdr:col>
      <xdr:colOff>482600</xdr:colOff>
      <xdr:row>3</xdr:row>
      <xdr:rowOff>127000</xdr:rowOff>
    </xdr:to>
    <xdr:sp macro="" textlink="">
      <xdr:nvSpPr>
        <xdr:cNvPr id="3" name="Flowchart: Process 2">
          <a:extLst>
            <a:ext uri="{FF2B5EF4-FFF2-40B4-BE49-F238E27FC236}">
              <a16:creationId xmlns:a16="http://schemas.microsoft.com/office/drawing/2014/main" id="{4AB716FE-0B46-3759-3A8D-28B7EA7468E2}"/>
            </a:ext>
          </a:extLst>
        </xdr:cNvPr>
        <xdr:cNvSpPr/>
      </xdr:nvSpPr>
      <xdr:spPr>
        <a:xfrm>
          <a:off x="1416050" y="203200"/>
          <a:ext cx="895350" cy="476250"/>
        </a:xfrm>
        <a:prstGeom prst="flowChartProcess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 b="1">
              <a:solidFill>
                <a:schemeClr val="tx1"/>
              </a:solidFill>
            </a:rPr>
            <a:t>INPUT TRANSAKSI</a:t>
          </a:r>
        </a:p>
      </xdr:txBody>
    </xdr:sp>
    <xdr:clientData/>
  </xdr:twoCellAnchor>
  <xdr:twoCellAnchor>
    <xdr:from>
      <xdr:col>4</xdr:col>
      <xdr:colOff>209550</xdr:colOff>
      <xdr:row>1</xdr:row>
      <xdr:rowOff>19050</xdr:rowOff>
    </xdr:from>
    <xdr:to>
      <xdr:col>6</xdr:col>
      <xdr:colOff>88900</xdr:colOff>
      <xdr:row>3</xdr:row>
      <xdr:rowOff>133350</xdr:rowOff>
    </xdr:to>
    <xdr:sp macro="" textlink="">
      <xdr:nvSpPr>
        <xdr:cNvPr id="5" name="Flowchart: Alternate Process 4">
          <a:extLst>
            <a:ext uri="{FF2B5EF4-FFF2-40B4-BE49-F238E27FC236}">
              <a16:creationId xmlns:a16="http://schemas.microsoft.com/office/drawing/2014/main" id="{D6FB7CEB-BB01-35C7-0CA2-DBCFBCF22F39}"/>
            </a:ext>
          </a:extLst>
        </xdr:cNvPr>
        <xdr:cNvSpPr/>
      </xdr:nvSpPr>
      <xdr:spPr>
        <a:xfrm>
          <a:off x="2647950" y="203200"/>
          <a:ext cx="1098550" cy="482600"/>
        </a:xfrm>
        <a:prstGeom prst="flowChartAlternateProcess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 b="1">
              <a:solidFill>
                <a:schemeClr val="tx1"/>
              </a:solidFill>
            </a:rPr>
            <a:t>PENERIMAAN</a:t>
          </a:r>
        </a:p>
      </xdr:txBody>
    </xdr:sp>
    <xdr:clientData/>
  </xdr:twoCellAnchor>
  <xdr:twoCellAnchor>
    <xdr:from>
      <xdr:col>4</xdr:col>
      <xdr:colOff>101600</xdr:colOff>
      <xdr:row>6</xdr:row>
      <xdr:rowOff>101600</xdr:rowOff>
    </xdr:from>
    <xdr:to>
      <xdr:col>5</xdr:col>
      <xdr:colOff>590550</xdr:colOff>
      <xdr:row>9</xdr:row>
      <xdr:rowOff>31750</xdr:rowOff>
    </xdr:to>
    <xdr:sp macro="" textlink="">
      <xdr:nvSpPr>
        <xdr:cNvPr id="6" name="Flowchart: Alternate Process 5">
          <a:extLst>
            <a:ext uri="{FF2B5EF4-FFF2-40B4-BE49-F238E27FC236}">
              <a16:creationId xmlns:a16="http://schemas.microsoft.com/office/drawing/2014/main" id="{91E55EE9-ABC1-428A-B570-DED61FC3B856}"/>
            </a:ext>
          </a:extLst>
        </xdr:cNvPr>
        <xdr:cNvSpPr/>
      </xdr:nvSpPr>
      <xdr:spPr>
        <a:xfrm>
          <a:off x="2540000" y="1206500"/>
          <a:ext cx="1098550" cy="482600"/>
        </a:xfrm>
        <a:prstGeom prst="flowChartAlternateProcess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 b="1">
              <a:solidFill>
                <a:schemeClr val="tx1"/>
              </a:solidFill>
            </a:rPr>
            <a:t>PENGELUARAN</a:t>
          </a:r>
        </a:p>
      </xdr:txBody>
    </xdr:sp>
    <xdr:clientData/>
  </xdr:twoCellAnchor>
  <xdr:twoCellAnchor>
    <xdr:from>
      <xdr:col>1</xdr:col>
      <xdr:colOff>412750</xdr:colOff>
      <xdr:row>2</xdr:row>
      <xdr:rowOff>69850</xdr:rowOff>
    </xdr:from>
    <xdr:to>
      <xdr:col>2</xdr:col>
      <xdr:colOff>196850</xdr:colOff>
      <xdr:row>2</xdr:row>
      <xdr:rowOff>73025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1D21EAA8-2D5E-D94A-A2BB-3769A1783364}"/>
            </a:ext>
          </a:extLst>
        </xdr:cNvPr>
        <xdr:cNvCxnSpPr>
          <a:stCxn id="2" idx="6"/>
          <a:endCxn id="3" idx="1"/>
        </xdr:cNvCxnSpPr>
      </xdr:nvCxnSpPr>
      <xdr:spPr>
        <a:xfrm>
          <a:off x="1022350" y="438150"/>
          <a:ext cx="393700" cy="31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482600</xdr:colOff>
      <xdr:row>2</xdr:row>
      <xdr:rowOff>73025</xdr:rowOff>
    </xdr:from>
    <xdr:to>
      <xdr:col>4</xdr:col>
      <xdr:colOff>209550</xdr:colOff>
      <xdr:row>2</xdr:row>
      <xdr:rowOff>76200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843755A8-ADEE-4745-AFED-C94623F1CB51}"/>
            </a:ext>
          </a:extLst>
        </xdr:cNvPr>
        <xdr:cNvCxnSpPr>
          <a:stCxn id="3" idx="3"/>
          <a:endCxn id="5" idx="1"/>
        </xdr:cNvCxnSpPr>
      </xdr:nvCxnSpPr>
      <xdr:spPr>
        <a:xfrm>
          <a:off x="2311400" y="441325"/>
          <a:ext cx="336550" cy="317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34924</xdr:colOff>
      <xdr:row>3</xdr:row>
      <xdr:rowOff>127000</xdr:rowOff>
    </xdr:from>
    <xdr:to>
      <xdr:col>4</xdr:col>
      <xdr:colOff>101599</xdr:colOff>
      <xdr:row>7</xdr:row>
      <xdr:rowOff>158750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889311CC-5E0C-4F85-9D15-81940AB31CBD}"/>
            </a:ext>
          </a:extLst>
        </xdr:cNvPr>
        <xdr:cNvCxnSpPr>
          <a:stCxn id="3" idx="2"/>
          <a:endCxn id="6" idx="1"/>
        </xdr:cNvCxnSpPr>
      </xdr:nvCxnSpPr>
      <xdr:spPr>
        <a:xfrm rot="16200000" flipH="1">
          <a:off x="1817687" y="725487"/>
          <a:ext cx="768350" cy="67627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571500</xdr:colOff>
      <xdr:row>3</xdr:row>
      <xdr:rowOff>114300</xdr:rowOff>
    </xdr:from>
    <xdr:to>
      <xdr:col>8</xdr:col>
      <xdr:colOff>450850</xdr:colOff>
      <xdr:row>6</xdr:row>
      <xdr:rowOff>44450</xdr:rowOff>
    </xdr:to>
    <xdr:sp macro="" textlink="">
      <xdr:nvSpPr>
        <xdr:cNvPr id="18" name="Flowchart: Alternate Process 17">
          <a:extLst>
            <a:ext uri="{FF2B5EF4-FFF2-40B4-BE49-F238E27FC236}">
              <a16:creationId xmlns:a16="http://schemas.microsoft.com/office/drawing/2014/main" id="{ECFE9C50-441C-4CBA-8F6C-5B0D9E22790E}"/>
            </a:ext>
          </a:extLst>
        </xdr:cNvPr>
        <xdr:cNvSpPr/>
      </xdr:nvSpPr>
      <xdr:spPr>
        <a:xfrm>
          <a:off x="4229100" y="666750"/>
          <a:ext cx="1098550" cy="482600"/>
        </a:xfrm>
        <a:prstGeom prst="flowChartAlternateProcess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 b="1">
              <a:solidFill>
                <a:schemeClr val="tx1"/>
              </a:solidFill>
            </a:rPr>
            <a:t>KAS KECIL</a:t>
          </a:r>
        </a:p>
      </xdr:txBody>
    </xdr:sp>
    <xdr:clientData/>
  </xdr:twoCellAnchor>
  <xdr:twoCellAnchor>
    <xdr:from>
      <xdr:col>6</xdr:col>
      <xdr:colOff>88900</xdr:colOff>
      <xdr:row>2</xdr:row>
      <xdr:rowOff>76200</xdr:rowOff>
    </xdr:from>
    <xdr:to>
      <xdr:col>7</xdr:col>
      <xdr:colOff>511175</xdr:colOff>
      <xdr:row>3</xdr:row>
      <xdr:rowOff>114300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E92AB5DC-CDF7-4930-9625-755317EA6399}"/>
            </a:ext>
          </a:extLst>
        </xdr:cNvPr>
        <xdr:cNvCxnSpPr>
          <a:stCxn id="5" idx="3"/>
          <a:endCxn id="18" idx="0"/>
        </xdr:cNvCxnSpPr>
      </xdr:nvCxnSpPr>
      <xdr:spPr>
        <a:xfrm>
          <a:off x="3746500" y="444500"/>
          <a:ext cx="1031875" cy="22225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6</xdr:row>
      <xdr:rowOff>44450</xdr:rowOff>
    </xdr:from>
    <xdr:to>
      <xdr:col>7</xdr:col>
      <xdr:colOff>511175</xdr:colOff>
      <xdr:row>7</xdr:row>
      <xdr:rowOff>158750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532BA0EC-B742-4E3C-86DA-8120BE181E9F}"/>
            </a:ext>
          </a:extLst>
        </xdr:cNvPr>
        <xdr:cNvCxnSpPr>
          <a:stCxn id="6" idx="3"/>
          <a:endCxn id="18" idx="2"/>
        </xdr:cNvCxnSpPr>
      </xdr:nvCxnSpPr>
      <xdr:spPr>
        <a:xfrm flipV="1">
          <a:off x="3638550" y="1149350"/>
          <a:ext cx="1139825" cy="29845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552450</xdr:colOff>
      <xdr:row>3</xdr:row>
      <xdr:rowOff>114300</xdr:rowOff>
    </xdr:from>
    <xdr:to>
      <xdr:col>10</xdr:col>
      <xdr:colOff>431800</xdr:colOff>
      <xdr:row>6</xdr:row>
      <xdr:rowOff>44450</xdr:rowOff>
    </xdr:to>
    <xdr:sp macro="" textlink="">
      <xdr:nvSpPr>
        <xdr:cNvPr id="25" name="Flowchart: Alternate Process 24">
          <a:extLst>
            <a:ext uri="{FF2B5EF4-FFF2-40B4-BE49-F238E27FC236}">
              <a16:creationId xmlns:a16="http://schemas.microsoft.com/office/drawing/2014/main" id="{B99E1140-8BA2-4681-836C-04F7CD6D0342}"/>
            </a:ext>
          </a:extLst>
        </xdr:cNvPr>
        <xdr:cNvSpPr/>
      </xdr:nvSpPr>
      <xdr:spPr>
        <a:xfrm>
          <a:off x="5429250" y="666750"/>
          <a:ext cx="1098550" cy="482600"/>
        </a:xfrm>
        <a:prstGeom prst="flowChartAlternateProcess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 b="1">
              <a:solidFill>
                <a:schemeClr val="tx1"/>
              </a:solidFill>
            </a:rPr>
            <a:t>BANK</a:t>
          </a:r>
        </a:p>
      </xdr:txBody>
    </xdr:sp>
    <xdr:clientData/>
  </xdr:twoCellAnchor>
  <xdr:twoCellAnchor>
    <xdr:from>
      <xdr:col>6</xdr:col>
      <xdr:colOff>88900</xdr:colOff>
      <xdr:row>2</xdr:row>
      <xdr:rowOff>76200</xdr:rowOff>
    </xdr:from>
    <xdr:to>
      <xdr:col>9</xdr:col>
      <xdr:colOff>492125</xdr:colOff>
      <xdr:row>3</xdr:row>
      <xdr:rowOff>114300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EC0693CE-CBA9-4F62-9C91-BB2DF7C14B3B}"/>
            </a:ext>
          </a:extLst>
        </xdr:cNvPr>
        <xdr:cNvCxnSpPr>
          <a:stCxn id="5" idx="3"/>
          <a:endCxn id="25" idx="0"/>
        </xdr:cNvCxnSpPr>
      </xdr:nvCxnSpPr>
      <xdr:spPr>
        <a:xfrm>
          <a:off x="3746500" y="444500"/>
          <a:ext cx="2232025" cy="22225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6</xdr:row>
      <xdr:rowOff>44450</xdr:rowOff>
    </xdr:from>
    <xdr:to>
      <xdr:col>9</xdr:col>
      <xdr:colOff>492125</xdr:colOff>
      <xdr:row>7</xdr:row>
      <xdr:rowOff>158750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097864A2-65D6-496F-AD85-E0277A746E18}"/>
            </a:ext>
          </a:extLst>
        </xdr:cNvPr>
        <xdr:cNvCxnSpPr>
          <a:stCxn id="6" idx="3"/>
          <a:endCxn id="25" idx="2"/>
        </xdr:cNvCxnSpPr>
      </xdr:nvCxnSpPr>
      <xdr:spPr>
        <a:xfrm flipV="1">
          <a:off x="3638550" y="1149350"/>
          <a:ext cx="2339975" cy="29845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571500</xdr:colOff>
      <xdr:row>9</xdr:row>
      <xdr:rowOff>12700</xdr:rowOff>
    </xdr:from>
    <xdr:to>
      <xdr:col>8</xdr:col>
      <xdr:colOff>450850</xdr:colOff>
      <xdr:row>12</xdr:row>
      <xdr:rowOff>95250</xdr:rowOff>
    </xdr:to>
    <xdr:sp macro="" textlink="">
      <xdr:nvSpPr>
        <xdr:cNvPr id="37" name="Flowchart: Alternate Process 36">
          <a:extLst>
            <a:ext uri="{FF2B5EF4-FFF2-40B4-BE49-F238E27FC236}">
              <a16:creationId xmlns:a16="http://schemas.microsoft.com/office/drawing/2014/main" id="{D471538A-5883-4DB4-86F8-FD1FE7485972}"/>
            </a:ext>
          </a:extLst>
        </xdr:cNvPr>
        <xdr:cNvSpPr/>
      </xdr:nvSpPr>
      <xdr:spPr>
        <a:xfrm>
          <a:off x="4229100" y="1670050"/>
          <a:ext cx="1098550" cy="635000"/>
        </a:xfrm>
        <a:prstGeom prst="flowChartAlternateProcess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 b="1">
              <a:solidFill>
                <a:schemeClr val="tx1"/>
              </a:solidFill>
            </a:rPr>
            <a:t>UANG MUKA KEGIATAN (UMK)</a:t>
          </a:r>
        </a:p>
      </xdr:txBody>
    </xdr:sp>
    <xdr:clientData/>
  </xdr:twoCellAnchor>
  <xdr:twoCellAnchor>
    <xdr:from>
      <xdr:col>6</xdr:col>
      <xdr:colOff>596900</xdr:colOff>
      <xdr:row>14</xdr:row>
      <xdr:rowOff>101600</xdr:rowOff>
    </xdr:from>
    <xdr:to>
      <xdr:col>8</xdr:col>
      <xdr:colOff>476250</xdr:colOff>
      <xdr:row>17</xdr:row>
      <xdr:rowOff>31750</xdr:rowOff>
    </xdr:to>
    <xdr:sp macro="" textlink="">
      <xdr:nvSpPr>
        <xdr:cNvPr id="38" name="Flowchart: Alternate Process 37">
          <a:extLst>
            <a:ext uri="{FF2B5EF4-FFF2-40B4-BE49-F238E27FC236}">
              <a16:creationId xmlns:a16="http://schemas.microsoft.com/office/drawing/2014/main" id="{2DCA790D-C7E9-4DF7-8390-2EE21A1F4E0E}"/>
            </a:ext>
          </a:extLst>
        </xdr:cNvPr>
        <xdr:cNvSpPr/>
      </xdr:nvSpPr>
      <xdr:spPr>
        <a:xfrm>
          <a:off x="4254500" y="2679700"/>
          <a:ext cx="1098550" cy="482600"/>
        </a:xfrm>
        <a:prstGeom prst="flowChartAlternateProcess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 b="1">
              <a:solidFill>
                <a:schemeClr val="tx1"/>
              </a:solidFill>
            </a:rPr>
            <a:t>PENGAJUAN UMK</a:t>
          </a:r>
        </a:p>
      </xdr:txBody>
    </xdr:sp>
    <xdr:clientData/>
  </xdr:twoCellAnchor>
  <xdr:twoCellAnchor>
    <xdr:from>
      <xdr:col>6</xdr:col>
      <xdr:colOff>571500</xdr:colOff>
      <xdr:row>19</xdr:row>
      <xdr:rowOff>19050</xdr:rowOff>
    </xdr:from>
    <xdr:to>
      <xdr:col>8</xdr:col>
      <xdr:colOff>527050</xdr:colOff>
      <xdr:row>21</xdr:row>
      <xdr:rowOff>139700</xdr:rowOff>
    </xdr:to>
    <xdr:sp macro="" textlink="">
      <xdr:nvSpPr>
        <xdr:cNvPr id="39" name="Flowchart: Data 38">
          <a:extLst>
            <a:ext uri="{FF2B5EF4-FFF2-40B4-BE49-F238E27FC236}">
              <a16:creationId xmlns:a16="http://schemas.microsoft.com/office/drawing/2014/main" id="{97ADC125-EC86-CD5D-9C6D-74201B6CFC6E}"/>
            </a:ext>
          </a:extLst>
        </xdr:cNvPr>
        <xdr:cNvSpPr/>
      </xdr:nvSpPr>
      <xdr:spPr>
        <a:xfrm>
          <a:off x="4229100" y="3517900"/>
          <a:ext cx="1174750" cy="488950"/>
        </a:xfrm>
        <a:prstGeom prst="flowChartInputOutpu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50" b="1">
              <a:solidFill>
                <a:schemeClr val="tx1"/>
              </a:solidFill>
            </a:rPr>
            <a:t>NO. UMK </a:t>
          </a:r>
        </a:p>
      </xdr:txBody>
    </xdr:sp>
    <xdr:clientData/>
  </xdr:twoCellAnchor>
  <xdr:twoCellAnchor>
    <xdr:from>
      <xdr:col>7</xdr:col>
      <xdr:colOff>12700</xdr:colOff>
      <xdr:row>22</xdr:row>
      <xdr:rowOff>139700</xdr:rowOff>
    </xdr:from>
    <xdr:to>
      <xdr:col>8</xdr:col>
      <xdr:colOff>501650</xdr:colOff>
      <xdr:row>25</xdr:row>
      <xdr:rowOff>69850</xdr:rowOff>
    </xdr:to>
    <xdr:sp macro="" textlink="">
      <xdr:nvSpPr>
        <xdr:cNvPr id="40" name="Flowchart: Alternate Process 39">
          <a:extLst>
            <a:ext uri="{FF2B5EF4-FFF2-40B4-BE49-F238E27FC236}">
              <a16:creationId xmlns:a16="http://schemas.microsoft.com/office/drawing/2014/main" id="{639B73CA-9215-415B-ADF6-EAD6FCCD650F}"/>
            </a:ext>
          </a:extLst>
        </xdr:cNvPr>
        <xdr:cNvSpPr/>
      </xdr:nvSpPr>
      <xdr:spPr>
        <a:xfrm>
          <a:off x="4279900" y="4191000"/>
          <a:ext cx="1098550" cy="482600"/>
        </a:xfrm>
        <a:prstGeom prst="flowChartAlternateProcess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00" b="1">
              <a:solidFill>
                <a:schemeClr val="tx1"/>
              </a:solidFill>
            </a:rPr>
            <a:t>REALISASI</a:t>
          </a:r>
          <a:r>
            <a:rPr lang="en-ID" sz="1000" b="1" baseline="0">
              <a:solidFill>
                <a:schemeClr val="tx1"/>
              </a:solidFill>
            </a:rPr>
            <a:t> </a:t>
          </a:r>
          <a:r>
            <a:rPr lang="en-ID" sz="1000" b="1">
              <a:solidFill>
                <a:schemeClr val="tx1"/>
              </a:solidFill>
            </a:rPr>
            <a:t>UMK</a:t>
          </a:r>
        </a:p>
      </xdr:txBody>
    </xdr:sp>
    <xdr:clientData/>
  </xdr:twoCellAnchor>
  <xdr:twoCellAnchor>
    <xdr:from>
      <xdr:col>7</xdr:col>
      <xdr:colOff>38100</xdr:colOff>
      <xdr:row>27</xdr:row>
      <xdr:rowOff>50800</xdr:rowOff>
    </xdr:from>
    <xdr:to>
      <xdr:col>8</xdr:col>
      <xdr:colOff>508000</xdr:colOff>
      <xdr:row>32</xdr:row>
      <xdr:rowOff>6350</xdr:rowOff>
    </xdr:to>
    <xdr:sp macro="" textlink="">
      <xdr:nvSpPr>
        <xdr:cNvPr id="41" name="Flowchart: Decision 40">
          <a:extLst>
            <a:ext uri="{FF2B5EF4-FFF2-40B4-BE49-F238E27FC236}">
              <a16:creationId xmlns:a16="http://schemas.microsoft.com/office/drawing/2014/main" id="{E0145CFC-F2A8-ED7A-C0DE-8C3BD578EFC5}"/>
            </a:ext>
          </a:extLst>
        </xdr:cNvPr>
        <xdr:cNvSpPr/>
      </xdr:nvSpPr>
      <xdr:spPr>
        <a:xfrm>
          <a:off x="4305300" y="5022850"/>
          <a:ext cx="1079500" cy="876300"/>
        </a:xfrm>
        <a:prstGeom prst="flowChartDecision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1">
              <a:solidFill>
                <a:schemeClr val="tx1"/>
              </a:solidFill>
            </a:rPr>
            <a:t>SURPLUS?</a:t>
          </a:r>
        </a:p>
      </xdr:txBody>
    </xdr:sp>
    <xdr:clientData/>
  </xdr:twoCellAnchor>
  <xdr:twoCellAnchor>
    <xdr:from>
      <xdr:col>5</xdr:col>
      <xdr:colOff>149226</xdr:colOff>
      <xdr:row>3</xdr:row>
      <xdr:rowOff>133350</xdr:rowOff>
    </xdr:from>
    <xdr:to>
      <xdr:col>7</xdr:col>
      <xdr:colOff>38101</xdr:colOff>
      <xdr:row>29</xdr:row>
      <xdr:rowOff>120650</xdr:rowOff>
    </xdr:to>
    <xdr:cxnSp macro="">
      <xdr:nvCxnSpPr>
        <xdr:cNvPr id="47" name="Connector: Curved 46">
          <a:extLst>
            <a:ext uri="{FF2B5EF4-FFF2-40B4-BE49-F238E27FC236}">
              <a16:creationId xmlns:a16="http://schemas.microsoft.com/office/drawing/2014/main" id="{B308E018-86A6-C794-C2F8-7CDEDEF856F0}"/>
            </a:ext>
          </a:extLst>
        </xdr:cNvPr>
        <xdr:cNvCxnSpPr>
          <a:stCxn id="41" idx="1"/>
          <a:endCxn id="5" idx="2"/>
        </xdr:cNvCxnSpPr>
      </xdr:nvCxnSpPr>
      <xdr:spPr>
        <a:xfrm rot="10800000">
          <a:off x="3197226" y="685800"/>
          <a:ext cx="1108075" cy="4775200"/>
        </a:xfrm>
        <a:prstGeom prst="curvedConnector2">
          <a:avLst/>
        </a:prstGeom>
        <a:ln w="9525" cap="flat" cmpd="sng" algn="ctr">
          <a:solidFill>
            <a:schemeClr val="accent6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511175</xdr:colOff>
      <xdr:row>12</xdr:row>
      <xdr:rowOff>95250</xdr:rowOff>
    </xdr:from>
    <xdr:to>
      <xdr:col>7</xdr:col>
      <xdr:colOff>536575</xdr:colOff>
      <xdr:row>14</xdr:row>
      <xdr:rowOff>101600</xdr:rowOff>
    </xdr:to>
    <xdr:cxnSp macro="">
      <xdr:nvCxnSpPr>
        <xdr:cNvPr id="57" name="Connector: Elbow 56">
          <a:extLst>
            <a:ext uri="{FF2B5EF4-FFF2-40B4-BE49-F238E27FC236}">
              <a16:creationId xmlns:a16="http://schemas.microsoft.com/office/drawing/2014/main" id="{8B7EC294-74BE-4422-A51D-A00F7E97D756}"/>
            </a:ext>
          </a:extLst>
        </xdr:cNvPr>
        <xdr:cNvCxnSpPr>
          <a:stCxn id="37" idx="2"/>
          <a:endCxn id="38" idx="0"/>
        </xdr:cNvCxnSpPr>
      </xdr:nvCxnSpPr>
      <xdr:spPr>
        <a:xfrm rot="16200000" flipH="1">
          <a:off x="4603750" y="2479675"/>
          <a:ext cx="374650" cy="254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536575</xdr:colOff>
      <xdr:row>17</xdr:row>
      <xdr:rowOff>31750</xdr:rowOff>
    </xdr:from>
    <xdr:to>
      <xdr:col>7</xdr:col>
      <xdr:colOff>549275</xdr:colOff>
      <xdr:row>19</xdr:row>
      <xdr:rowOff>19050</xdr:rowOff>
    </xdr:to>
    <xdr:cxnSp macro="">
      <xdr:nvCxnSpPr>
        <xdr:cNvPr id="60" name="Connector: Elbow 59">
          <a:extLst>
            <a:ext uri="{FF2B5EF4-FFF2-40B4-BE49-F238E27FC236}">
              <a16:creationId xmlns:a16="http://schemas.microsoft.com/office/drawing/2014/main" id="{FFAD8859-FAC4-48EF-9265-F555A0BE0ADB}"/>
            </a:ext>
          </a:extLst>
        </xdr:cNvPr>
        <xdr:cNvCxnSpPr>
          <a:stCxn id="38" idx="2"/>
          <a:endCxn id="39" idx="1"/>
        </xdr:cNvCxnSpPr>
      </xdr:nvCxnSpPr>
      <xdr:spPr>
        <a:xfrm rot="16200000" flipH="1">
          <a:off x="4632325" y="3333750"/>
          <a:ext cx="355600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549275</xdr:colOff>
      <xdr:row>21</xdr:row>
      <xdr:rowOff>139700</xdr:rowOff>
    </xdr:from>
    <xdr:to>
      <xdr:col>7</xdr:col>
      <xdr:colOff>561975</xdr:colOff>
      <xdr:row>22</xdr:row>
      <xdr:rowOff>139700</xdr:rowOff>
    </xdr:to>
    <xdr:cxnSp macro="">
      <xdr:nvCxnSpPr>
        <xdr:cNvPr id="63" name="Connector: Elbow 62">
          <a:extLst>
            <a:ext uri="{FF2B5EF4-FFF2-40B4-BE49-F238E27FC236}">
              <a16:creationId xmlns:a16="http://schemas.microsoft.com/office/drawing/2014/main" id="{5076E9FB-D95A-44EC-94B3-F3BC634B1693}"/>
            </a:ext>
          </a:extLst>
        </xdr:cNvPr>
        <xdr:cNvCxnSpPr>
          <a:stCxn id="39" idx="4"/>
          <a:endCxn id="40" idx="0"/>
        </xdr:cNvCxnSpPr>
      </xdr:nvCxnSpPr>
      <xdr:spPr>
        <a:xfrm rot="16200000" flipH="1">
          <a:off x="4730750" y="4092575"/>
          <a:ext cx="184150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561974</xdr:colOff>
      <xdr:row>25</xdr:row>
      <xdr:rowOff>69850</xdr:rowOff>
    </xdr:from>
    <xdr:to>
      <xdr:col>7</xdr:col>
      <xdr:colOff>577849</xdr:colOff>
      <xdr:row>27</xdr:row>
      <xdr:rowOff>50800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BAB87EA2-5FA2-44E5-9B7E-5F71857C8089}"/>
            </a:ext>
          </a:extLst>
        </xdr:cNvPr>
        <xdr:cNvCxnSpPr>
          <a:stCxn id="40" idx="2"/>
          <a:endCxn id="41" idx="0"/>
        </xdr:cNvCxnSpPr>
      </xdr:nvCxnSpPr>
      <xdr:spPr>
        <a:xfrm rot="16200000" flipH="1">
          <a:off x="4662487" y="4840287"/>
          <a:ext cx="349250" cy="1587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101600</xdr:colOff>
      <xdr:row>7</xdr:row>
      <xdr:rowOff>158750</xdr:rowOff>
    </xdr:from>
    <xdr:to>
      <xdr:col>7</xdr:col>
      <xdr:colOff>577850</xdr:colOff>
      <xdr:row>32</xdr:row>
      <xdr:rowOff>6350</xdr:rowOff>
    </xdr:to>
    <xdr:cxnSp macro="">
      <xdr:nvCxnSpPr>
        <xdr:cNvPr id="73" name="Connector: Curved 72">
          <a:extLst>
            <a:ext uri="{FF2B5EF4-FFF2-40B4-BE49-F238E27FC236}">
              <a16:creationId xmlns:a16="http://schemas.microsoft.com/office/drawing/2014/main" id="{A1DD7CFC-4FE0-4834-AF11-814F972321D0}"/>
            </a:ext>
          </a:extLst>
        </xdr:cNvPr>
        <xdr:cNvCxnSpPr>
          <a:stCxn id="41" idx="2"/>
          <a:endCxn id="6" idx="1"/>
        </xdr:cNvCxnSpPr>
      </xdr:nvCxnSpPr>
      <xdr:spPr>
        <a:xfrm rot="5400000" flipH="1">
          <a:off x="1466850" y="2520950"/>
          <a:ext cx="4451350" cy="2305050"/>
        </a:xfrm>
        <a:prstGeom prst="curvedConnector4">
          <a:avLst>
            <a:gd name="adj1" fmla="val -5136"/>
            <a:gd name="adj2" fmla="val 109917"/>
          </a:avLst>
        </a:prstGeom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304800</xdr:colOff>
      <xdr:row>22</xdr:row>
      <xdr:rowOff>95250</xdr:rowOff>
    </xdr:from>
    <xdr:to>
      <xdr:col>12</xdr:col>
      <xdr:colOff>520700</xdr:colOff>
      <xdr:row>25</xdr:row>
      <xdr:rowOff>127000</xdr:rowOff>
    </xdr:to>
    <xdr:sp macro="" textlink="">
      <xdr:nvSpPr>
        <xdr:cNvPr id="76" name="Flowchart: Document 75">
          <a:extLst>
            <a:ext uri="{FF2B5EF4-FFF2-40B4-BE49-F238E27FC236}">
              <a16:creationId xmlns:a16="http://schemas.microsoft.com/office/drawing/2014/main" id="{75A657FA-9F39-46D1-1FF5-FDD6D04B88D1}"/>
            </a:ext>
          </a:extLst>
        </xdr:cNvPr>
        <xdr:cNvSpPr/>
      </xdr:nvSpPr>
      <xdr:spPr>
        <a:xfrm>
          <a:off x="7010400" y="4146550"/>
          <a:ext cx="825500" cy="584200"/>
        </a:xfrm>
        <a:prstGeom prst="flowChartDocumen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bg1"/>
              </a:solidFill>
            </a:rPr>
            <a:t>LAP. SURPLUS</a:t>
          </a:r>
          <a:r>
            <a:rPr lang="en-ID" sz="800" b="1" baseline="0">
              <a:solidFill>
                <a:schemeClr val="bg1"/>
              </a:solidFill>
            </a:rPr>
            <a:t> DEVISI</a:t>
          </a:r>
          <a:endParaRPr lang="en-ID" sz="8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311150</xdr:colOff>
      <xdr:row>27</xdr:row>
      <xdr:rowOff>63500</xdr:rowOff>
    </xdr:from>
    <xdr:to>
      <xdr:col>12</xdr:col>
      <xdr:colOff>527050</xdr:colOff>
      <xdr:row>30</xdr:row>
      <xdr:rowOff>95250</xdr:rowOff>
    </xdr:to>
    <xdr:sp macro="" textlink="">
      <xdr:nvSpPr>
        <xdr:cNvPr id="77" name="Flowchart: Document 76">
          <a:extLst>
            <a:ext uri="{FF2B5EF4-FFF2-40B4-BE49-F238E27FC236}">
              <a16:creationId xmlns:a16="http://schemas.microsoft.com/office/drawing/2014/main" id="{BCC2710C-0F4C-45BC-A556-3B253B4C01BC}"/>
            </a:ext>
          </a:extLst>
        </xdr:cNvPr>
        <xdr:cNvSpPr/>
      </xdr:nvSpPr>
      <xdr:spPr>
        <a:xfrm>
          <a:off x="7016750" y="5035550"/>
          <a:ext cx="825500" cy="584200"/>
        </a:xfrm>
        <a:prstGeom prst="flowChartDocumen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900" b="1">
              <a:solidFill>
                <a:schemeClr val="bg1"/>
              </a:solidFill>
            </a:rPr>
            <a:t>Lap. UMK Outstanding</a:t>
          </a:r>
        </a:p>
      </xdr:txBody>
    </xdr:sp>
    <xdr:clientData/>
  </xdr:twoCellAnchor>
  <xdr:twoCellAnchor>
    <xdr:from>
      <xdr:col>8</xdr:col>
      <xdr:colOff>501650</xdr:colOff>
      <xdr:row>24</xdr:row>
      <xdr:rowOff>12700</xdr:rowOff>
    </xdr:from>
    <xdr:to>
      <xdr:col>11</xdr:col>
      <xdr:colOff>311150</xdr:colOff>
      <xdr:row>28</xdr:row>
      <xdr:rowOff>171450</xdr:rowOff>
    </xdr:to>
    <xdr:cxnSp macro="">
      <xdr:nvCxnSpPr>
        <xdr:cNvPr id="78" name="Connector: Elbow 77">
          <a:extLst>
            <a:ext uri="{FF2B5EF4-FFF2-40B4-BE49-F238E27FC236}">
              <a16:creationId xmlns:a16="http://schemas.microsoft.com/office/drawing/2014/main" id="{29CAAB46-1DEA-49C9-AE2C-6274C1E72515}"/>
            </a:ext>
          </a:extLst>
        </xdr:cNvPr>
        <xdr:cNvCxnSpPr>
          <a:stCxn id="40" idx="3"/>
          <a:endCxn id="77" idx="1"/>
        </xdr:cNvCxnSpPr>
      </xdr:nvCxnSpPr>
      <xdr:spPr>
        <a:xfrm>
          <a:off x="5378450" y="4432300"/>
          <a:ext cx="1638300" cy="8953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501650</xdr:colOff>
      <xdr:row>24</xdr:row>
      <xdr:rowOff>12700</xdr:rowOff>
    </xdr:from>
    <xdr:to>
      <xdr:col>11</xdr:col>
      <xdr:colOff>304800</xdr:colOff>
      <xdr:row>24</xdr:row>
      <xdr:rowOff>19050</xdr:rowOff>
    </xdr:to>
    <xdr:cxnSp macro="">
      <xdr:nvCxnSpPr>
        <xdr:cNvPr id="79" name="Connector: Elbow 78">
          <a:extLst>
            <a:ext uri="{FF2B5EF4-FFF2-40B4-BE49-F238E27FC236}">
              <a16:creationId xmlns:a16="http://schemas.microsoft.com/office/drawing/2014/main" id="{AC2BBFFD-74AF-4893-B2F7-781B96374247}"/>
            </a:ext>
          </a:extLst>
        </xdr:cNvPr>
        <xdr:cNvCxnSpPr>
          <a:stCxn id="40" idx="3"/>
          <a:endCxn id="76" idx="1"/>
        </xdr:cNvCxnSpPr>
      </xdr:nvCxnSpPr>
      <xdr:spPr>
        <a:xfrm>
          <a:off x="5378450" y="4432300"/>
          <a:ext cx="1631950" cy="63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260350</xdr:colOff>
      <xdr:row>3</xdr:row>
      <xdr:rowOff>69850</xdr:rowOff>
    </xdr:from>
    <xdr:to>
      <xdr:col>12</xdr:col>
      <xdr:colOff>476250</xdr:colOff>
      <xdr:row>6</xdr:row>
      <xdr:rowOff>101600</xdr:rowOff>
    </xdr:to>
    <xdr:sp macro="" textlink="">
      <xdr:nvSpPr>
        <xdr:cNvPr id="113" name="Flowchart: Document 112">
          <a:extLst>
            <a:ext uri="{FF2B5EF4-FFF2-40B4-BE49-F238E27FC236}">
              <a16:creationId xmlns:a16="http://schemas.microsoft.com/office/drawing/2014/main" id="{7C7CDC0D-EC49-465E-B9C4-9CCC29E926FF}"/>
            </a:ext>
          </a:extLst>
        </xdr:cNvPr>
        <xdr:cNvSpPr/>
      </xdr:nvSpPr>
      <xdr:spPr>
        <a:xfrm>
          <a:off x="6965950" y="622300"/>
          <a:ext cx="825500" cy="584200"/>
        </a:xfrm>
        <a:prstGeom prst="flowChartDocumen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bg1"/>
              </a:solidFill>
            </a:rPr>
            <a:t>CASHFLOW</a:t>
          </a:r>
        </a:p>
      </xdr:txBody>
    </xdr:sp>
    <xdr:clientData/>
  </xdr:twoCellAnchor>
  <xdr:twoCellAnchor>
    <xdr:from>
      <xdr:col>11</xdr:col>
      <xdr:colOff>273050</xdr:colOff>
      <xdr:row>7</xdr:row>
      <xdr:rowOff>38100</xdr:rowOff>
    </xdr:from>
    <xdr:to>
      <xdr:col>12</xdr:col>
      <xdr:colOff>488950</xdr:colOff>
      <xdr:row>10</xdr:row>
      <xdr:rowOff>69850</xdr:rowOff>
    </xdr:to>
    <xdr:sp macro="" textlink="">
      <xdr:nvSpPr>
        <xdr:cNvPr id="114" name="Flowchart: Document 113">
          <a:extLst>
            <a:ext uri="{FF2B5EF4-FFF2-40B4-BE49-F238E27FC236}">
              <a16:creationId xmlns:a16="http://schemas.microsoft.com/office/drawing/2014/main" id="{11121B2E-D26C-4EC9-B2EE-B2D284AA6403}"/>
            </a:ext>
          </a:extLst>
        </xdr:cNvPr>
        <xdr:cNvSpPr/>
      </xdr:nvSpPr>
      <xdr:spPr>
        <a:xfrm>
          <a:off x="6978650" y="1327150"/>
          <a:ext cx="825500" cy="584200"/>
        </a:xfrm>
        <a:prstGeom prst="flowChartDocumen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bg1"/>
              </a:solidFill>
            </a:rPr>
            <a:t>SALDO BANK</a:t>
          </a:r>
        </a:p>
      </xdr:txBody>
    </xdr:sp>
    <xdr:clientData/>
  </xdr:twoCellAnchor>
  <xdr:twoCellAnchor>
    <xdr:from>
      <xdr:col>11</xdr:col>
      <xdr:colOff>266700</xdr:colOff>
      <xdr:row>11</xdr:row>
      <xdr:rowOff>44450</xdr:rowOff>
    </xdr:from>
    <xdr:to>
      <xdr:col>12</xdr:col>
      <xdr:colOff>482600</xdr:colOff>
      <xdr:row>14</xdr:row>
      <xdr:rowOff>76200</xdr:rowOff>
    </xdr:to>
    <xdr:sp macro="" textlink="">
      <xdr:nvSpPr>
        <xdr:cNvPr id="115" name="Flowchart: Document 114">
          <a:extLst>
            <a:ext uri="{FF2B5EF4-FFF2-40B4-BE49-F238E27FC236}">
              <a16:creationId xmlns:a16="http://schemas.microsoft.com/office/drawing/2014/main" id="{0BF31E46-0F06-47A1-ABD0-D399C1C8962F}"/>
            </a:ext>
          </a:extLst>
        </xdr:cNvPr>
        <xdr:cNvSpPr/>
      </xdr:nvSpPr>
      <xdr:spPr>
        <a:xfrm>
          <a:off x="6972300" y="2070100"/>
          <a:ext cx="825500" cy="584200"/>
        </a:xfrm>
        <a:prstGeom prst="flowChartDocumen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bg1"/>
              </a:solidFill>
            </a:rPr>
            <a:t>SALDO KAS KECIL</a:t>
          </a:r>
        </a:p>
      </xdr:txBody>
    </xdr:sp>
    <xdr:clientData/>
  </xdr:twoCellAnchor>
  <xdr:twoCellAnchor>
    <xdr:from>
      <xdr:col>10</xdr:col>
      <xdr:colOff>431800</xdr:colOff>
      <xdr:row>4</xdr:row>
      <xdr:rowOff>171450</xdr:rowOff>
    </xdr:from>
    <xdr:to>
      <xdr:col>11</xdr:col>
      <xdr:colOff>260350</xdr:colOff>
      <xdr:row>4</xdr:row>
      <xdr:rowOff>177800</xdr:rowOff>
    </xdr:to>
    <xdr:cxnSp macro="">
      <xdr:nvCxnSpPr>
        <xdr:cNvPr id="116" name="Connector: Elbow 115">
          <a:extLst>
            <a:ext uri="{FF2B5EF4-FFF2-40B4-BE49-F238E27FC236}">
              <a16:creationId xmlns:a16="http://schemas.microsoft.com/office/drawing/2014/main" id="{859B22A8-0ACD-4E02-81A1-88C6EC2A46C8}"/>
            </a:ext>
          </a:extLst>
        </xdr:cNvPr>
        <xdr:cNvCxnSpPr>
          <a:stCxn id="25" idx="3"/>
          <a:endCxn id="113" idx="1"/>
        </xdr:cNvCxnSpPr>
      </xdr:nvCxnSpPr>
      <xdr:spPr>
        <a:xfrm>
          <a:off x="6527800" y="908050"/>
          <a:ext cx="438150" cy="63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450850</xdr:colOff>
      <xdr:row>4</xdr:row>
      <xdr:rowOff>171450</xdr:rowOff>
    </xdr:from>
    <xdr:to>
      <xdr:col>8</xdr:col>
      <xdr:colOff>552450</xdr:colOff>
      <xdr:row>5</xdr:row>
      <xdr:rowOff>0</xdr:rowOff>
    </xdr:to>
    <xdr:cxnSp macro="">
      <xdr:nvCxnSpPr>
        <xdr:cNvPr id="120" name="Connector: Elbow 119">
          <a:extLst>
            <a:ext uri="{FF2B5EF4-FFF2-40B4-BE49-F238E27FC236}">
              <a16:creationId xmlns:a16="http://schemas.microsoft.com/office/drawing/2014/main" id="{B54CBDF9-CE89-442A-85E1-7D2921C7137B}"/>
            </a:ext>
          </a:extLst>
        </xdr:cNvPr>
        <xdr:cNvCxnSpPr>
          <a:stCxn id="18" idx="3"/>
          <a:endCxn id="25" idx="1"/>
        </xdr:cNvCxnSpPr>
      </xdr:nvCxnSpPr>
      <xdr:spPr>
        <a:xfrm>
          <a:off x="5327650" y="908050"/>
          <a:ext cx="101600" cy="127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431800</xdr:colOff>
      <xdr:row>4</xdr:row>
      <xdr:rowOff>171450</xdr:rowOff>
    </xdr:from>
    <xdr:to>
      <xdr:col>11</xdr:col>
      <xdr:colOff>273050</xdr:colOff>
      <xdr:row>8</xdr:row>
      <xdr:rowOff>146050</xdr:rowOff>
    </xdr:to>
    <xdr:cxnSp macro="">
      <xdr:nvCxnSpPr>
        <xdr:cNvPr id="123" name="Connector: Elbow 122">
          <a:extLst>
            <a:ext uri="{FF2B5EF4-FFF2-40B4-BE49-F238E27FC236}">
              <a16:creationId xmlns:a16="http://schemas.microsoft.com/office/drawing/2014/main" id="{1721D65C-B3B3-458A-8A4D-7431B2808C78}"/>
            </a:ext>
          </a:extLst>
        </xdr:cNvPr>
        <xdr:cNvCxnSpPr>
          <a:stCxn id="25" idx="3"/>
          <a:endCxn id="114" idx="1"/>
        </xdr:cNvCxnSpPr>
      </xdr:nvCxnSpPr>
      <xdr:spPr>
        <a:xfrm>
          <a:off x="6527800" y="908050"/>
          <a:ext cx="450850" cy="7112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450850</xdr:colOff>
      <xdr:row>4</xdr:row>
      <xdr:rowOff>171450</xdr:rowOff>
    </xdr:from>
    <xdr:to>
      <xdr:col>11</xdr:col>
      <xdr:colOff>266700</xdr:colOff>
      <xdr:row>12</xdr:row>
      <xdr:rowOff>152400</xdr:rowOff>
    </xdr:to>
    <xdr:cxnSp macro="">
      <xdr:nvCxnSpPr>
        <xdr:cNvPr id="126" name="Connector: Elbow 125">
          <a:extLst>
            <a:ext uri="{FF2B5EF4-FFF2-40B4-BE49-F238E27FC236}">
              <a16:creationId xmlns:a16="http://schemas.microsoft.com/office/drawing/2014/main" id="{6FF9B1B7-2946-4455-A07A-51013DE54254}"/>
            </a:ext>
          </a:extLst>
        </xdr:cNvPr>
        <xdr:cNvCxnSpPr>
          <a:stCxn id="18" idx="3"/>
          <a:endCxn id="115" idx="1"/>
        </xdr:cNvCxnSpPr>
      </xdr:nvCxnSpPr>
      <xdr:spPr>
        <a:xfrm>
          <a:off x="5327650" y="908050"/>
          <a:ext cx="1644650" cy="1454150"/>
        </a:xfrm>
        <a:prstGeom prst="bentConnector3">
          <a:avLst>
            <a:gd name="adj1" fmla="val 251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292100</xdr:colOff>
      <xdr:row>18</xdr:row>
      <xdr:rowOff>88900</xdr:rowOff>
    </xdr:from>
    <xdr:to>
      <xdr:col>12</xdr:col>
      <xdr:colOff>508000</xdr:colOff>
      <xdr:row>21</xdr:row>
      <xdr:rowOff>120650</xdr:rowOff>
    </xdr:to>
    <xdr:sp macro="" textlink="">
      <xdr:nvSpPr>
        <xdr:cNvPr id="132" name="Flowchart: Document 131">
          <a:extLst>
            <a:ext uri="{FF2B5EF4-FFF2-40B4-BE49-F238E27FC236}">
              <a16:creationId xmlns:a16="http://schemas.microsoft.com/office/drawing/2014/main" id="{2AD66DFA-D51B-4751-A276-6A39F6FD51A4}"/>
            </a:ext>
          </a:extLst>
        </xdr:cNvPr>
        <xdr:cNvSpPr/>
      </xdr:nvSpPr>
      <xdr:spPr>
        <a:xfrm>
          <a:off x="6997700" y="3403600"/>
          <a:ext cx="825500" cy="584200"/>
        </a:xfrm>
        <a:prstGeom prst="flowChartDocumen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800" b="1">
              <a:solidFill>
                <a:schemeClr val="bg1"/>
              </a:solidFill>
            </a:rPr>
            <a:t>LAP.</a:t>
          </a:r>
          <a:r>
            <a:rPr lang="en-ID" sz="800" b="1" baseline="0">
              <a:solidFill>
                <a:schemeClr val="bg1"/>
              </a:solidFill>
            </a:rPr>
            <a:t> PENGAJUAN UMK</a:t>
          </a:r>
          <a:endParaRPr lang="en-ID" sz="8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501650</xdr:colOff>
      <xdr:row>20</xdr:row>
      <xdr:rowOff>12700</xdr:rowOff>
    </xdr:from>
    <xdr:to>
      <xdr:col>11</xdr:col>
      <xdr:colOff>292100</xdr:colOff>
      <xdr:row>24</xdr:row>
      <xdr:rowOff>12700</xdr:rowOff>
    </xdr:to>
    <xdr:cxnSp macro="">
      <xdr:nvCxnSpPr>
        <xdr:cNvPr id="133" name="Connector: Elbow 132">
          <a:extLst>
            <a:ext uri="{FF2B5EF4-FFF2-40B4-BE49-F238E27FC236}">
              <a16:creationId xmlns:a16="http://schemas.microsoft.com/office/drawing/2014/main" id="{C89C933F-6577-4D3C-B14B-09629DA4D18C}"/>
            </a:ext>
          </a:extLst>
        </xdr:cNvPr>
        <xdr:cNvCxnSpPr>
          <a:stCxn id="40" idx="3"/>
          <a:endCxn id="132" idx="1"/>
        </xdr:cNvCxnSpPr>
      </xdr:nvCxnSpPr>
      <xdr:spPr>
        <a:xfrm flipV="1">
          <a:off x="5378450" y="3695700"/>
          <a:ext cx="1619250" cy="7366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558800</xdr:colOff>
      <xdr:row>37</xdr:row>
      <xdr:rowOff>146051</xdr:rowOff>
    </xdr:from>
    <xdr:to>
      <xdr:col>8</xdr:col>
      <xdr:colOff>0</xdr:colOff>
      <xdr:row>45</xdr:row>
      <xdr:rowOff>152400</xdr:rowOff>
    </xdr:to>
    <xdr:sp macro="" textlink="">
      <xdr:nvSpPr>
        <xdr:cNvPr id="142" name="Rectangle: Rounded Corners 141">
          <a:extLst>
            <a:ext uri="{FF2B5EF4-FFF2-40B4-BE49-F238E27FC236}">
              <a16:creationId xmlns:a16="http://schemas.microsoft.com/office/drawing/2014/main" id="{65853D66-FB24-4AB3-8694-5B58D878004A}"/>
            </a:ext>
          </a:extLst>
        </xdr:cNvPr>
        <xdr:cNvSpPr/>
      </xdr:nvSpPr>
      <xdr:spPr>
        <a:xfrm>
          <a:off x="558800" y="146051"/>
          <a:ext cx="4318000" cy="1479549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vert="vert270" rtlCol="0" anchor="t"/>
        <a:lstStyle/>
        <a:p>
          <a:pPr algn="ctr"/>
          <a:r>
            <a:rPr lang="en-ID" sz="1100" b="1"/>
            <a:t>INPUT</a:t>
          </a:r>
          <a:r>
            <a:rPr lang="en-ID" sz="1100" b="1" baseline="0"/>
            <a:t> TRANSAKSI</a:t>
          </a:r>
          <a:endParaRPr lang="en-ID" sz="1100" b="1"/>
        </a:p>
      </xdr:txBody>
    </xdr:sp>
    <xdr:clientData/>
  </xdr:twoCellAnchor>
  <xdr:twoCellAnchor>
    <xdr:from>
      <xdr:col>0</xdr:col>
      <xdr:colOff>180974</xdr:colOff>
      <xdr:row>38</xdr:row>
      <xdr:rowOff>57150</xdr:rowOff>
    </xdr:from>
    <xdr:to>
      <xdr:col>12</xdr:col>
      <xdr:colOff>482600</xdr:colOff>
      <xdr:row>53</xdr:row>
      <xdr:rowOff>38100</xdr:rowOff>
    </xdr:to>
    <xdr:graphicFrame macro="">
      <xdr:nvGraphicFramePr>
        <xdr:cNvPr id="143" name="Diagram 142">
          <a:extLst>
            <a:ext uri="{FF2B5EF4-FFF2-40B4-BE49-F238E27FC236}">
              <a16:creationId xmlns:a16="http://schemas.microsoft.com/office/drawing/2014/main" id="{04D14486-AA7A-4A23-A9AD-29E4E6B97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oneCellAnchor>
    <xdr:from>
      <xdr:col>6</xdr:col>
      <xdr:colOff>501650</xdr:colOff>
      <xdr:row>28</xdr:row>
      <xdr:rowOff>6350</xdr:rowOff>
    </xdr:from>
    <xdr:ext cx="343427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DD37ECED-5982-21BB-D60C-42A0F038B63D}"/>
            </a:ext>
          </a:extLst>
        </xdr:cNvPr>
        <xdr:cNvSpPr txBox="1"/>
      </xdr:nvSpPr>
      <xdr:spPr>
        <a:xfrm>
          <a:off x="4159250" y="5162550"/>
          <a:ext cx="34342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 b="1">
              <a:solidFill>
                <a:schemeClr val="accent6">
                  <a:lumMod val="50000"/>
                </a:schemeClr>
              </a:solidFill>
            </a:rPr>
            <a:t>YA</a:t>
          </a:r>
        </a:p>
      </xdr:txBody>
    </xdr:sp>
    <xdr:clientData/>
  </xdr:oneCellAnchor>
  <xdr:oneCellAnchor>
    <xdr:from>
      <xdr:col>7</xdr:col>
      <xdr:colOff>323850</xdr:colOff>
      <xdr:row>32</xdr:row>
      <xdr:rowOff>76200</xdr:rowOff>
    </xdr:from>
    <xdr:ext cx="618952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74175A4B-578D-48C1-B35E-D8629DF85E57}"/>
            </a:ext>
          </a:extLst>
        </xdr:cNvPr>
        <xdr:cNvSpPr txBox="1"/>
      </xdr:nvSpPr>
      <xdr:spPr>
        <a:xfrm>
          <a:off x="4591050" y="5969000"/>
          <a:ext cx="61895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 b="1">
              <a:solidFill>
                <a:srgbClr val="C00000"/>
              </a:solidFill>
            </a:rPr>
            <a:t>DEFISIT</a:t>
          </a:r>
        </a:p>
      </xdr:txBody>
    </xdr:sp>
    <xdr:clientData/>
  </xdr:oneCellAnchor>
  <xdr:twoCellAnchor>
    <xdr:from>
      <xdr:col>11</xdr:col>
      <xdr:colOff>342900</xdr:colOff>
      <xdr:row>0</xdr:row>
      <xdr:rowOff>101600</xdr:rowOff>
    </xdr:from>
    <xdr:to>
      <xdr:col>12</xdr:col>
      <xdr:colOff>469900</xdr:colOff>
      <xdr:row>2</xdr:row>
      <xdr:rowOff>63500</xdr:rowOff>
    </xdr:to>
    <xdr:sp macro="" textlink="">
      <xdr:nvSpPr>
        <xdr:cNvPr id="146" name="Flowchart: Connector 145">
          <a:extLst>
            <a:ext uri="{FF2B5EF4-FFF2-40B4-BE49-F238E27FC236}">
              <a16:creationId xmlns:a16="http://schemas.microsoft.com/office/drawing/2014/main" id="{AD02624B-CA49-4805-9AC6-FAF13C6B4DBD}"/>
            </a:ext>
          </a:extLst>
        </xdr:cNvPr>
        <xdr:cNvSpPr/>
      </xdr:nvSpPr>
      <xdr:spPr>
        <a:xfrm>
          <a:off x="7048500" y="101600"/>
          <a:ext cx="736600" cy="330200"/>
        </a:xfrm>
        <a:prstGeom prst="flowChartConnector">
          <a:avLst/>
        </a:prstGeom>
        <a:solidFill>
          <a:schemeClr val="accent4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900" b="1">
              <a:solidFill>
                <a:schemeClr val="tx1"/>
              </a:solidFill>
            </a:rPr>
            <a:t>FINISH</a:t>
          </a:r>
        </a:p>
      </xdr:txBody>
    </xdr:sp>
    <xdr:clientData/>
  </xdr:twoCellAnchor>
  <xdr:twoCellAnchor>
    <xdr:from>
      <xdr:col>10</xdr:col>
      <xdr:colOff>431800</xdr:colOff>
      <xdr:row>1</xdr:row>
      <xdr:rowOff>82550</xdr:rowOff>
    </xdr:from>
    <xdr:to>
      <xdr:col>11</xdr:col>
      <xdr:colOff>342900</xdr:colOff>
      <xdr:row>4</xdr:row>
      <xdr:rowOff>171450</xdr:rowOff>
    </xdr:to>
    <xdr:cxnSp macro="">
      <xdr:nvCxnSpPr>
        <xdr:cNvPr id="147" name="Connector: Elbow 146">
          <a:extLst>
            <a:ext uri="{FF2B5EF4-FFF2-40B4-BE49-F238E27FC236}">
              <a16:creationId xmlns:a16="http://schemas.microsoft.com/office/drawing/2014/main" id="{E62183DD-6E53-49E4-B7CB-0127A5358750}"/>
            </a:ext>
          </a:extLst>
        </xdr:cNvPr>
        <xdr:cNvCxnSpPr>
          <a:stCxn id="25" idx="3"/>
          <a:endCxn id="146" idx="2"/>
        </xdr:cNvCxnSpPr>
      </xdr:nvCxnSpPr>
      <xdr:spPr>
        <a:xfrm flipV="1">
          <a:off x="6527800" y="266700"/>
          <a:ext cx="520700" cy="641350"/>
        </a:xfrm>
        <a:prstGeom prst="bentConnector3">
          <a:avLst>
            <a:gd name="adj1" fmla="val 4146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254000</xdr:colOff>
      <xdr:row>17</xdr:row>
      <xdr:rowOff>107950</xdr:rowOff>
    </xdr:from>
    <xdr:ext cx="1220975" cy="655885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4D81C2B0-8A98-458C-AC19-DC08E1DB7E6D}"/>
            </a:ext>
          </a:extLst>
        </xdr:cNvPr>
        <xdr:cNvSpPr txBox="1"/>
      </xdr:nvSpPr>
      <xdr:spPr>
        <a:xfrm>
          <a:off x="254000" y="3238500"/>
          <a:ext cx="1220975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3600" b="1">
              <a:solidFill>
                <a:schemeClr val="accent6">
                  <a:lumMod val="50000"/>
                </a:schemeClr>
              </a:solidFill>
            </a:rPr>
            <a:t>ALUR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539750</xdr:colOff>
      <xdr:row>1</xdr:row>
      <xdr:rowOff>12700</xdr:rowOff>
    </xdr:from>
    <xdr:to>
      <xdr:col>7</xdr:col>
      <xdr:colOff>406400</xdr:colOff>
      <xdr:row>32</xdr:row>
      <xdr:rowOff>133350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AF4A887A-9599-FE83-F4C7-A2288173C4FA}"/>
            </a:ext>
          </a:extLst>
        </xdr:cNvPr>
        <xdr:cNvGrpSpPr/>
      </xdr:nvGrpSpPr>
      <xdr:grpSpPr>
        <a:xfrm>
          <a:off x="539750" y="374650"/>
          <a:ext cx="4133850" cy="5829300"/>
          <a:chOff x="539750" y="3143250"/>
          <a:chExt cx="4133850" cy="5353050"/>
        </a:xfrm>
      </xdr:grpSpPr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B12EFB50-986B-B6AC-642A-74993A4D57FF}"/>
              </a:ext>
            </a:extLst>
          </xdr:cNvPr>
          <xdr:cNvSpPr/>
        </xdr:nvSpPr>
        <xdr:spPr>
          <a:xfrm>
            <a:off x="539750" y="4122892"/>
            <a:ext cx="4133850" cy="1329517"/>
          </a:xfrm>
          <a:prstGeom prst="roundRect">
            <a:avLst/>
          </a:prstGeom>
        </xdr:spPr>
        <xdr:style>
          <a:lnRef idx="1">
            <a:schemeClr val="accent4"/>
          </a:lnRef>
          <a:fillRef idx="2">
            <a:schemeClr val="accent4"/>
          </a:fillRef>
          <a:effectRef idx="1">
            <a:schemeClr val="accent4"/>
          </a:effectRef>
          <a:fontRef idx="minor">
            <a:schemeClr val="dk1"/>
          </a:fontRef>
        </xdr:style>
        <xdr:txBody>
          <a:bodyPr vertOverflow="clip" horzOverflow="clip" vert="vert270" rtlCol="0" anchor="t"/>
          <a:lstStyle/>
          <a:p>
            <a:pPr algn="ctr"/>
            <a:r>
              <a:rPr lang="en-ID" sz="1100" b="1"/>
              <a:t>INPUT</a:t>
            </a:r>
            <a:r>
              <a:rPr lang="en-ID" sz="1100" b="1" baseline="0"/>
              <a:t> TRANSAKSI</a:t>
            </a:r>
            <a:endParaRPr lang="en-ID" sz="1100" b="1"/>
          </a:p>
        </xdr:txBody>
      </xdr:sp>
      <xdr:graphicFrame macro="">
        <xdr:nvGraphicFramePr>
          <xdr:cNvPr id="4" name="Diagram 3">
            <a:extLst>
              <a:ext uri="{FF2B5EF4-FFF2-40B4-BE49-F238E27FC236}">
                <a16:creationId xmlns:a16="http://schemas.microsoft.com/office/drawing/2014/main" id="{43B26475-F26D-EDC6-4D30-20601634C8D4}"/>
              </a:ext>
            </a:extLst>
          </xdr:cNvPr>
          <xdr:cNvGraphicFramePr/>
        </xdr:nvGraphicFramePr>
        <xdr:xfrm>
          <a:off x="981074" y="3143250"/>
          <a:ext cx="3508375" cy="5353050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1" r:lo="rId2" r:qs="rId3" r:cs="rId4"/>
          </a:graphicData>
        </a:graphic>
      </xdr:graphicFrame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FD98AE-5C02-4F0B-9541-553048524926}" name="Table3" displayName="Table3" ref="A2:I7" totalsRowShown="0" headerRowDxfId="9" dataDxfId="8" headerRowCellStyle="Comma [0]" dataCellStyle="Comma [0]">
  <autoFilter ref="A2:I7" xr:uid="{A7FD98AE-5C02-4F0B-9541-553048524926}"/>
  <tableColumns count="9">
    <tableColumn id="1" xr3:uid="{FEC36430-69A0-4A62-98D1-47E732E6E113}" name="NO" dataDxfId="18"/>
    <tableColumn id="2" xr3:uid="{073B114A-9861-4CAA-B74E-5699586FF81F}" name="Tgl. Pengajuan" dataDxfId="17"/>
    <tableColumn id="3" xr3:uid="{7073ED84-2DD3-4EBC-9888-2D6AF1D9C3A2}" name="NO. UMK" dataDxfId="16"/>
    <tableColumn id="4" xr3:uid="{95C22E76-5BA4-43EB-9F06-888CE2F8A45C}" name="Nama Kegiatan" dataDxfId="15"/>
    <tableColumn id="5" xr3:uid="{1DF6EF50-663B-4AD7-B9B6-3CF99A780726}" name="Pengajuan" dataDxfId="14" dataCellStyle="Comma [0]"/>
    <tableColumn id="6" xr3:uid="{BA52A491-BD57-4B7A-B299-CC69C96C53B0}" name="Penerimaan" dataDxfId="13" dataCellStyle="Comma [0]"/>
    <tableColumn id="7" xr3:uid="{57720D27-3CB4-4E94-B937-C2E477C33B6F}" name="Pengeluaran" dataDxfId="12" dataCellStyle="Comma [0]"/>
    <tableColumn id="8" xr3:uid="{24D3CEC9-5678-4596-87D8-6F30F3F48C50}" name="Outstanding" dataDxfId="11" dataCellStyle="Comma [0]"/>
    <tableColumn id="9" xr3:uid="{5CC7BD95-3E2D-44C3-B721-BE54DAF4B26A}" name="Realisasi" dataDxfId="10" dataCellStyle="Comma [0]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C4A101-EBE3-4285-88C5-C6A950FCE39D}" name="Table2" displayName="Table2" ref="A1:G347" totalsRowShown="0" headerRowDxfId="20">
  <autoFilter ref="A1:G347" xr:uid="{2FC4A101-EBE3-4285-88C5-C6A950FCE39D}"/>
  <tableColumns count="7">
    <tableColumn id="1" xr3:uid="{935CFCAA-4C90-4C85-A0B4-46571DA96B32}" name="IDPERSI" dataDxfId="22"/>
    <tableColumn id="2" xr3:uid="{F86E3AC8-9B22-4BE8-BCCB-9B7CB7F883C7}" name="NAMA RS"/>
    <tableColumn id="3" xr3:uid="{2CC15AED-757A-4FB7-89BA-E31A057A1843}" name="KELAS RS" dataDxfId="21"/>
    <tableColumn id="4" xr3:uid="{7BD8E86D-D400-478B-860C-4E44B499EC2D}" name="IUR REAL" dataDxfId="19" dataCellStyle="Comma [0]"/>
    <tableColumn id="5" xr3:uid="{B339ADA7-A950-4689-AA41-4834ECFF0FC8}" name="ALAMAT"/>
    <tableColumn id="6" xr3:uid="{3938BFBC-1B38-442A-AAA1-FF39F897E257}" name="EMAIL"/>
    <tableColumn id="7" xr3:uid="{F300E509-6A89-4E6A-B98E-C0AA781E7568}" name="KONTAK PIC (WA)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839726-9E0F-4493-A6A0-B4E346A91B03}" name="Table1" displayName="Table1" ref="A1:B12" totalsRowShown="0" headerRowDxfId="24" dataDxfId="23">
  <autoFilter ref="A1:B12" xr:uid="{3CAE535B-6349-4933-AC96-E20463A74F86}">
    <filterColumn colId="0">
      <customFilters>
        <customFilter operator="notEqual" val=" "/>
      </customFilters>
    </filterColumn>
  </autoFilter>
  <sortState xmlns:xlrd2="http://schemas.microsoft.com/office/spreadsheetml/2017/richdata2" ref="A2:B12">
    <sortCondition ref="A1:A12"/>
  </sortState>
  <tableColumns count="2">
    <tableColumn id="1" xr3:uid="{C5F145F2-8C54-4C51-AE06-4D6F5129D830}" name="KELAS RS" dataDxfId="26"/>
    <tableColumn id="2" xr3:uid="{205B449B-1E24-4A94-863D-A217399B9E36}" name="IUR" dataDxfId="25" dataCellStyle="Comma [0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EF9C48-BD81-45F5-A7F4-8644302E136D}" name="Table4" displayName="Table4" ref="A5:F55" totalsRowShown="0" headerRowDxfId="4" headerRowBorderDxfId="5" tableBorderDxfId="6" headerRowCellStyle="Comma">
  <autoFilter ref="A5:F55" xr:uid="{34EF9C48-BD81-45F5-A7F4-8644302E136D}"/>
  <tableColumns count="6">
    <tableColumn id="1" xr3:uid="{2CB7E8EE-6B26-449A-90FA-3ECDB2C1DDB2}" name="NO "/>
    <tableColumn id="2" xr3:uid="{A7F8FDB4-008E-45B4-8EDC-D635392797B9}" name="URAIAN"/>
    <tableColumn id="3" xr3:uid="{0623635D-ED1B-4B3E-AE99-05E5EC04A9EB}" name="JANUARI" dataDxfId="3"/>
    <tableColumn id="4" xr3:uid="{7E43C77B-065C-46DC-B1FF-9FB37356EB1B}" name="FEBRUARI" dataDxfId="2"/>
    <tableColumn id="5" xr3:uid="{AFEB9B11-6733-476C-BCFC-F8AD4C45DB4B}" name="MARET" dataDxfId="1"/>
    <tableColumn id="6" xr3:uid="{C259E80B-F74C-4276-B913-9D69E69422F0}" name="APRIL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D13B-70BF-4EA0-9C42-5365F81EF81C}">
  <sheetPr>
    <pageSetUpPr fitToPage="1"/>
  </sheetPr>
  <dimension ref="A1:N54"/>
  <sheetViews>
    <sheetView showGridLines="0" workbookViewId="0">
      <selection activeCell="O40" sqref="O40"/>
    </sheetView>
  </sheetViews>
  <sheetFormatPr defaultRowHeight="14.5" x14ac:dyDescent="0.35"/>
  <sheetData>
    <row r="1" spans="1:14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x14ac:dyDescent="0.3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x14ac:dyDescent="0.3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3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8" spans="1:14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4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4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4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4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4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4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4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4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4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4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3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1:13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1:13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</sheetData>
  <sheetProtection sheet="1" objects="1" scenarios="1"/>
  <pageMargins left="0.7" right="0.7" top="0.75" bottom="0.75" header="0.3" footer="0.3"/>
  <pageSetup paperSize="9" scale="7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39CB-B18A-4A99-9229-B251AADD33AC}">
  <dimension ref="A1:I34"/>
  <sheetViews>
    <sheetView showGridLines="0" tabSelected="1" topLeftCell="A19" workbookViewId="0">
      <selection activeCell="L33" sqref="L33"/>
    </sheetView>
  </sheetViews>
  <sheetFormatPr defaultRowHeight="14.5" x14ac:dyDescent="0.35"/>
  <sheetData>
    <row r="1" spans="1:9" ht="28.5" x14ac:dyDescent="0.65">
      <c r="A1" s="9" t="s">
        <v>744</v>
      </c>
      <c r="B1" s="7"/>
      <c r="C1" s="7"/>
      <c r="D1" s="7"/>
      <c r="E1" s="7"/>
      <c r="F1" s="7"/>
      <c r="G1" s="7"/>
      <c r="H1" s="7"/>
      <c r="I1" s="7"/>
    </row>
    <row r="2" spans="1:9" x14ac:dyDescent="0.35">
      <c r="A2" s="7"/>
      <c r="B2" s="7"/>
      <c r="C2" s="7"/>
      <c r="D2" s="7"/>
      <c r="E2" s="7"/>
      <c r="F2" s="7"/>
      <c r="G2" s="7"/>
      <c r="H2" s="7"/>
      <c r="I2" s="7"/>
    </row>
    <row r="3" spans="1:9" x14ac:dyDescent="0.35">
      <c r="A3" s="7"/>
      <c r="B3" s="7"/>
      <c r="C3" s="7"/>
      <c r="D3" s="7"/>
      <c r="E3" s="7"/>
      <c r="F3" s="7"/>
      <c r="G3" s="7"/>
      <c r="H3" s="7"/>
      <c r="I3" s="7"/>
    </row>
    <row r="4" spans="1:9" x14ac:dyDescent="0.35">
      <c r="A4" s="7"/>
      <c r="B4" s="7"/>
      <c r="C4" s="7"/>
      <c r="D4" s="7"/>
      <c r="E4" s="7"/>
      <c r="F4" s="7"/>
      <c r="G4" s="7"/>
      <c r="H4" s="7"/>
      <c r="I4" s="7"/>
    </row>
    <row r="5" spans="1:9" x14ac:dyDescent="0.35">
      <c r="A5" s="7"/>
      <c r="B5" s="7"/>
      <c r="C5" s="7"/>
      <c r="D5" s="7"/>
      <c r="E5" s="7"/>
      <c r="F5" s="7"/>
      <c r="G5" s="7"/>
      <c r="H5" s="7"/>
      <c r="I5" s="7"/>
    </row>
    <row r="6" spans="1:9" x14ac:dyDescent="0.35">
      <c r="A6" s="7"/>
      <c r="B6" s="7"/>
      <c r="C6" s="7"/>
      <c r="D6" s="7"/>
      <c r="E6" s="7"/>
      <c r="F6" s="7"/>
      <c r="G6" s="7"/>
      <c r="H6" s="7"/>
      <c r="I6" s="7"/>
    </row>
    <row r="7" spans="1:9" x14ac:dyDescent="0.35">
      <c r="A7" s="7"/>
      <c r="B7" s="7"/>
      <c r="C7" s="7"/>
      <c r="D7" s="7"/>
      <c r="E7" s="7"/>
      <c r="F7" s="7"/>
      <c r="G7" s="7"/>
      <c r="H7" s="7"/>
      <c r="I7" s="7"/>
    </row>
    <row r="8" spans="1:9" x14ac:dyDescent="0.35">
      <c r="A8" s="7"/>
      <c r="B8" s="7"/>
      <c r="C8" s="7"/>
      <c r="D8" s="7"/>
      <c r="E8" s="7"/>
      <c r="F8" s="7"/>
      <c r="G8" s="7"/>
      <c r="H8" s="7"/>
      <c r="I8" s="7"/>
    </row>
    <row r="9" spans="1:9" x14ac:dyDescent="0.35">
      <c r="A9" s="7"/>
      <c r="B9" s="7"/>
      <c r="C9" s="7"/>
      <c r="D9" s="7"/>
      <c r="E9" s="7"/>
      <c r="F9" s="7"/>
      <c r="G9" s="7"/>
      <c r="H9" s="7"/>
      <c r="I9" s="7"/>
    </row>
    <row r="10" spans="1:9" x14ac:dyDescent="0.35">
      <c r="A10" s="7"/>
      <c r="B10" s="7"/>
      <c r="C10" s="7"/>
      <c r="D10" s="7"/>
      <c r="E10" s="7"/>
      <c r="F10" s="7"/>
      <c r="G10" s="7"/>
      <c r="H10" s="7"/>
      <c r="I10" s="7"/>
    </row>
    <row r="11" spans="1:9" x14ac:dyDescent="0.35">
      <c r="A11" s="7"/>
      <c r="B11" s="7"/>
      <c r="C11" s="7"/>
      <c r="D11" s="7"/>
      <c r="E11" s="7"/>
      <c r="F11" s="7"/>
      <c r="G11" s="7"/>
      <c r="H11" s="7"/>
      <c r="I11" s="7"/>
    </row>
    <row r="12" spans="1:9" x14ac:dyDescent="0.35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35">
      <c r="A13" s="7"/>
      <c r="B13" s="7"/>
      <c r="C13" s="7"/>
      <c r="D13" s="7"/>
      <c r="E13" s="7"/>
      <c r="F13" s="7"/>
      <c r="G13" s="7"/>
      <c r="H13" s="7"/>
      <c r="I13" s="7"/>
    </row>
    <row r="14" spans="1:9" x14ac:dyDescent="0.35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35">
      <c r="A15" s="7"/>
      <c r="B15" s="7"/>
      <c r="C15" s="7"/>
      <c r="D15" s="7"/>
      <c r="E15" s="7"/>
      <c r="F15" s="7"/>
      <c r="G15" s="7"/>
      <c r="H15" s="7"/>
      <c r="I15" s="7"/>
    </row>
    <row r="16" spans="1:9" x14ac:dyDescent="0.35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35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35">
      <c r="A18" s="7"/>
      <c r="B18" s="7"/>
      <c r="C18" s="7"/>
      <c r="D18" s="7"/>
      <c r="E18" s="7"/>
      <c r="F18" s="7"/>
      <c r="G18" s="7"/>
      <c r="H18" s="7"/>
      <c r="I18" s="7"/>
    </row>
    <row r="19" spans="1:9" x14ac:dyDescent="0.35">
      <c r="A19" s="7"/>
      <c r="B19" s="7"/>
      <c r="C19" s="7"/>
      <c r="D19" s="7"/>
      <c r="E19" s="7"/>
      <c r="F19" s="7"/>
      <c r="G19" s="7"/>
      <c r="H19" s="7"/>
      <c r="I19" s="7"/>
    </row>
    <row r="20" spans="1:9" x14ac:dyDescent="0.3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3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3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3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35">
      <c r="A24" s="7"/>
      <c r="B24" s="7"/>
      <c r="C24" s="7"/>
      <c r="D24" s="7"/>
      <c r="E24" s="7"/>
      <c r="F24" s="7"/>
      <c r="G24" s="7"/>
      <c r="H24" s="7"/>
      <c r="I24" s="7"/>
    </row>
    <row r="25" spans="1:9" x14ac:dyDescent="0.35">
      <c r="A25" s="7"/>
      <c r="B25" s="7"/>
      <c r="C25" s="7"/>
      <c r="D25" s="7"/>
      <c r="E25" s="7"/>
      <c r="F25" s="7"/>
      <c r="G25" s="7"/>
      <c r="H25" s="7"/>
      <c r="I25" s="7"/>
    </row>
    <row r="26" spans="1:9" x14ac:dyDescent="0.35">
      <c r="A26" s="7"/>
      <c r="B26" s="7"/>
      <c r="C26" s="7"/>
      <c r="D26" s="7"/>
      <c r="E26" s="7"/>
      <c r="F26" s="7"/>
      <c r="G26" s="7"/>
      <c r="H26" s="7"/>
      <c r="I26" s="7"/>
    </row>
    <row r="27" spans="1:9" x14ac:dyDescent="0.35">
      <c r="A27" s="7"/>
      <c r="B27" s="7"/>
      <c r="C27" s="7"/>
      <c r="D27" s="7"/>
      <c r="E27" s="7"/>
      <c r="F27" s="7"/>
      <c r="G27" s="7"/>
      <c r="H27" s="7"/>
      <c r="I27" s="7"/>
    </row>
    <row r="28" spans="1:9" x14ac:dyDescent="0.35">
      <c r="A28" s="7"/>
      <c r="B28" s="7"/>
      <c r="C28" s="7"/>
      <c r="D28" s="7"/>
      <c r="E28" s="7"/>
      <c r="F28" s="7"/>
      <c r="G28" s="7"/>
      <c r="H28" s="7"/>
      <c r="I28" s="7"/>
    </row>
    <row r="29" spans="1:9" x14ac:dyDescent="0.35">
      <c r="A29" s="7"/>
      <c r="B29" s="7"/>
      <c r="C29" s="7"/>
      <c r="D29" s="7"/>
      <c r="E29" s="7"/>
      <c r="F29" s="7"/>
      <c r="G29" s="7"/>
      <c r="H29" s="7"/>
      <c r="I29" s="7"/>
    </row>
    <row r="30" spans="1:9" x14ac:dyDescent="0.35">
      <c r="A30" s="7"/>
      <c r="B30" s="7"/>
      <c r="C30" s="7"/>
      <c r="D30" s="7"/>
      <c r="E30" s="7"/>
      <c r="F30" s="7"/>
      <c r="G30" s="7"/>
      <c r="H30" s="7"/>
      <c r="I30" s="7"/>
    </row>
    <row r="31" spans="1:9" x14ac:dyDescent="0.35">
      <c r="A31" s="7"/>
      <c r="B31" s="7"/>
      <c r="C31" s="7"/>
      <c r="D31" s="7"/>
      <c r="E31" s="7"/>
      <c r="F31" s="7"/>
      <c r="G31" s="7"/>
      <c r="H31" s="7"/>
      <c r="I31" s="7"/>
    </row>
    <row r="32" spans="1:9" x14ac:dyDescent="0.35">
      <c r="A32" s="7"/>
      <c r="B32" s="7"/>
      <c r="C32" s="7"/>
      <c r="D32" s="7"/>
      <c r="E32" s="7"/>
      <c r="F32" s="7"/>
      <c r="G32" s="7"/>
      <c r="H32" s="7"/>
      <c r="I32" s="7"/>
    </row>
    <row r="33" spans="1:9" x14ac:dyDescent="0.35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35">
      <c r="A34" s="7"/>
      <c r="B34" s="7"/>
      <c r="C34" s="7"/>
      <c r="D34" s="7"/>
      <c r="E34" s="7"/>
      <c r="F34" s="7"/>
      <c r="G34" s="7"/>
      <c r="H34" s="7"/>
      <c r="I34" s="7"/>
    </row>
  </sheetData>
  <sheetProtection sheet="1" objects="1" scenarios="1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0532-F375-48C4-9427-ED80B4C3FCDC}">
  <dimension ref="A2:I7"/>
  <sheetViews>
    <sheetView workbookViewId="0">
      <selection activeCell="C18" sqref="C18"/>
    </sheetView>
  </sheetViews>
  <sheetFormatPr defaultRowHeight="14.5" x14ac:dyDescent="0.35"/>
  <cols>
    <col min="1" max="1" width="5.453125" customWidth="1"/>
    <col min="2" max="2" width="16.08984375" customWidth="1"/>
    <col min="3" max="3" width="13.1796875" customWidth="1"/>
    <col min="4" max="4" width="20.7265625" customWidth="1"/>
    <col min="5" max="7" width="15.7265625" style="4" customWidth="1"/>
    <col min="8" max="8" width="15.7265625" style="4" hidden="1" customWidth="1"/>
    <col min="9" max="9" width="15.7265625" style="4" customWidth="1"/>
  </cols>
  <sheetData>
    <row r="2" spans="1:9" s="20" customFormat="1" ht="24" customHeight="1" x14ac:dyDescent="0.35">
      <c r="A2" s="20" t="s">
        <v>745</v>
      </c>
      <c r="B2" s="20" t="s">
        <v>746</v>
      </c>
      <c r="C2" s="20" t="s">
        <v>747</v>
      </c>
      <c r="D2" s="20" t="s">
        <v>748</v>
      </c>
      <c r="E2" s="21" t="s">
        <v>751</v>
      </c>
      <c r="F2" s="21" t="s">
        <v>752</v>
      </c>
      <c r="G2" s="21" t="s">
        <v>753</v>
      </c>
      <c r="H2" s="21" t="s">
        <v>749</v>
      </c>
      <c r="I2" s="21" t="s">
        <v>755</v>
      </c>
    </row>
    <row r="3" spans="1:9" s="22" customFormat="1" ht="24" hidden="1" customHeight="1" x14ac:dyDescent="0.35">
      <c r="A3" s="22">
        <v>1</v>
      </c>
      <c r="B3" s="23">
        <v>46023</v>
      </c>
      <c r="C3" s="24" t="s">
        <v>754</v>
      </c>
      <c r="D3" s="22" t="s">
        <v>750</v>
      </c>
      <c r="E3" s="25">
        <v>50000000</v>
      </c>
      <c r="F3" s="25">
        <v>0</v>
      </c>
      <c r="G3" s="25">
        <v>25000000</v>
      </c>
      <c r="H3" s="25">
        <f>E3-G3</f>
        <v>25000000</v>
      </c>
      <c r="I3" s="25"/>
    </row>
    <row r="4" spans="1:9" s="22" customFormat="1" ht="24" customHeight="1" x14ac:dyDescent="0.35">
      <c r="B4" s="23"/>
      <c r="C4" s="24"/>
      <c r="E4" s="25"/>
      <c r="F4" s="25"/>
      <c r="G4" s="25"/>
      <c r="H4" s="25"/>
      <c r="I4" s="25"/>
    </row>
    <row r="5" spans="1:9" s="22" customFormat="1" ht="24" customHeight="1" x14ac:dyDescent="0.35">
      <c r="E5" s="25"/>
      <c r="F5" s="25"/>
      <c r="G5" s="25"/>
      <c r="H5" s="25"/>
      <c r="I5" s="25"/>
    </row>
    <row r="6" spans="1:9" s="22" customFormat="1" ht="24" customHeight="1" x14ac:dyDescent="0.35">
      <c r="E6" s="25"/>
      <c r="F6" s="25"/>
      <c r="G6" s="25"/>
      <c r="H6" s="25"/>
      <c r="I6" s="25"/>
    </row>
    <row r="7" spans="1:9" s="22" customFormat="1" ht="24" customHeight="1" x14ac:dyDescent="0.35">
      <c r="E7" s="25"/>
      <c r="F7" s="25"/>
      <c r="G7" s="25"/>
      <c r="H7" s="25"/>
      <c r="I7" s="2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0D262-2AD8-41B1-B153-67612E5D255F}">
  <dimension ref="A1:S41"/>
  <sheetViews>
    <sheetView workbookViewId="0">
      <pane xSplit="6" ySplit="1" topLeftCell="G23" activePane="bottomRight" state="frozen"/>
      <selection pane="topRight" activeCell="G1" sqref="G1"/>
      <selection pane="bottomLeft" activeCell="A2" sqref="A2"/>
      <selection pane="bottomRight" activeCell="R24" sqref="R24"/>
    </sheetView>
  </sheetViews>
  <sheetFormatPr defaultRowHeight="14.5" x14ac:dyDescent="0.35"/>
  <cols>
    <col min="1" max="6" width="1.90625" style="1" customWidth="1"/>
    <col min="7" max="8" width="2.6328125" style="2" customWidth="1"/>
    <col min="9" max="14" width="2.6328125" customWidth="1"/>
  </cols>
  <sheetData>
    <row r="1" spans="1:19" x14ac:dyDescent="0.35">
      <c r="A1" s="10" t="s">
        <v>37</v>
      </c>
      <c r="B1" s="11"/>
      <c r="C1" s="11"/>
      <c r="D1" s="11"/>
      <c r="E1" s="11"/>
      <c r="F1" s="11"/>
      <c r="G1" s="12"/>
      <c r="H1" s="12"/>
      <c r="I1" s="13"/>
      <c r="J1" s="13"/>
      <c r="K1" s="13"/>
      <c r="L1" s="13"/>
      <c r="M1" s="13"/>
      <c r="N1" s="13"/>
      <c r="O1" s="13"/>
      <c r="P1" s="13"/>
      <c r="Q1" s="13"/>
      <c r="R1" s="13"/>
      <c r="S1" s="14"/>
    </row>
    <row r="2" spans="1:19" x14ac:dyDescent="0.35">
      <c r="A2" s="15">
        <v>1</v>
      </c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2" t="s">
        <v>0</v>
      </c>
      <c r="H2" s="12"/>
      <c r="I2" s="13"/>
      <c r="J2" s="13"/>
      <c r="K2" s="13"/>
      <c r="L2" s="13"/>
      <c r="M2" s="13"/>
      <c r="N2" s="13"/>
      <c r="O2" s="13"/>
      <c r="P2" s="13"/>
      <c r="Q2" s="13"/>
      <c r="R2" s="13"/>
      <c r="S2" s="14"/>
    </row>
    <row r="3" spans="1:19" x14ac:dyDescent="0.35">
      <c r="A3" s="15">
        <v>1</v>
      </c>
      <c r="B3" s="11">
        <v>1</v>
      </c>
      <c r="C3" s="11">
        <v>0</v>
      </c>
      <c r="D3" s="11">
        <v>0</v>
      </c>
      <c r="E3" s="11">
        <v>0</v>
      </c>
      <c r="F3" s="11">
        <v>0</v>
      </c>
      <c r="G3" s="12"/>
      <c r="H3" s="12" t="s">
        <v>1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</row>
    <row r="4" spans="1:19" x14ac:dyDescent="0.35">
      <c r="A4" s="15">
        <v>1</v>
      </c>
      <c r="B4" s="11">
        <v>1</v>
      </c>
      <c r="C4" s="11">
        <v>1</v>
      </c>
      <c r="D4" s="11">
        <v>0</v>
      </c>
      <c r="E4" s="11">
        <v>0</v>
      </c>
      <c r="F4" s="11">
        <v>0</v>
      </c>
      <c r="G4" s="12"/>
      <c r="H4" s="12"/>
      <c r="I4" s="13" t="s">
        <v>4</v>
      </c>
      <c r="J4" s="13"/>
      <c r="K4" s="13"/>
      <c r="L4" s="13"/>
      <c r="M4" s="13"/>
      <c r="N4" s="13"/>
      <c r="O4" s="13"/>
      <c r="P4" s="13"/>
      <c r="Q4" s="13"/>
      <c r="R4" s="13"/>
      <c r="S4" s="14"/>
    </row>
    <row r="5" spans="1:19" x14ac:dyDescent="0.35">
      <c r="A5" s="15">
        <v>1</v>
      </c>
      <c r="B5" s="11">
        <v>1</v>
      </c>
      <c r="C5" s="11">
        <v>2</v>
      </c>
      <c r="D5" s="11">
        <v>0</v>
      </c>
      <c r="E5" s="11">
        <v>0</v>
      </c>
      <c r="F5" s="11">
        <v>0</v>
      </c>
      <c r="G5" s="12"/>
      <c r="H5" s="12"/>
      <c r="I5" s="13" t="s">
        <v>742</v>
      </c>
      <c r="J5" s="13"/>
      <c r="K5" s="13"/>
      <c r="L5" s="13"/>
      <c r="M5" s="13"/>
      <c r="N5" s="13"/>
      <c r="O5" s="13"/>
      <c r="P5" s="13"/>
      <c r="Q5" s="13"/>
      <c r="R5" s="13"/>
      <c r="S5" s="14"/>
    </row>
    <row r="6" spans="1:19" x14ac:dyDescent="0.35">
      <c r="A6" s="15">
        <v>1</v>
      </c>
      <c r="B6" s="11">
        <v>1</v>
      </c>
      <c r="C6" s="11">
        <v>3</v>
      </c>
      <c r="D6" s="11">
        <v>0</v>
      </c>
      <c r="E6" s="11">
        <v>0</v>
      </c>
      <c r="F6" s="11">
        <v>0</v>
      </c>
      <c r="G6" s="12"/>
      <c r="H6" s="12"/>
      <c r="I6" s="13" t="s">
        <v>743</v>
      </c>
      <c r="J6" s="13"/>
      <c r="K6" s="13"/>
      <c r="L6" s="13"/>
      <c r="M6" s="13"/>
      <c r="N6" s="13"/>
      <c r="O6" s="13"/>
      <c r="P6" s="13"/>
      <c r="Q6" s="13"/>
      <c r="R6" s="13"/>
      <c r="S6" s="14"/>
    </row>
    <row r="7" spans="1:19" x14ac:dyDescent="0.35">
      <c r="A7" s="15">
        <v>1</v>
      </c>
      <c r="B7" s="11">
        <v>2</v>
      </c>
      <c r="C7" s="11">
        <v>0</v>
      </c>
      <c r="D7" s="11">
        <v>0</v>
      </c>
      <c r="E7" s="11">
        <v>0</v>
      </c>
      <c r="F7" s="11">
        <v>0</v>
      </c>
      <c r="G7" s="12"/>
      <c r="H7" s="12" t="s">
        <v>2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4"/>
    </row>
    <row r="8" spans="1:19" x14ac:dyDescent="0.35">
      <c r="A8" s="15">
        <v>1</v>
      </c>
      <c r="B8" s="11">
        <v>2</v>
      </c>
      <c r="C8" s="11">
        <v>1</v>
      </c>
      <c r="D8" s="11">
        <v>0</v>
      </c>
      <c r="E8" s="11">
        <v>0</v>
      </c>
      <c r="F8" s="11">
        <v>0</v>
      </c>
      <c r="G8" s="12"/>
      <c r="H8" s="12"/>
      <c r="I8" s="13" t="s">
        <v>7</v>
      </c>
      <c r="J8" s="13"/>
      <c r="K8" s="13"/>
      <c r="L8" s="13"/>
      <c r="M8" s="13"/>
      <c r="N8" s="13"/>
      <c r="O8" s="13"/>
      <c r="P8" s="13"/>
      <c r="Q8" s="13"/>
      <c r="R8" s="13"/>
      <c r="S8" s="14"/>
    </row>
    <row r="9" spans="1:19" x14ac:dyDescent="0.35">
      <c r="A9" s="15">
        <v>1</v>
      </c>
      <c r="B9" s="11">
        <v>2</v>
      </c>
      <c r="C9" s="11">
        <v>2</v>
      </c>
      <c r="D9" s="11">
        <v>0</v>
      </c>
      <c r="E9" s="11">
        <v>0</v>
      </c>
      <c r="F9" s="11">
        <v>0</v>
      </c>
      <c r="G9" s="12"/>
      <c r="H9" s="12"/>
      <c r="I9" s="13" t="s">
        <v>8</v>
      </c>
      <c r="J9" s="13"/>
      <c r="K9" s="13"/>
      <c r="L9" s="13"/>
      <c r="M9" s="13"/>
      <c r="N9" s="13"/>
      <c r="O9" s="13"/>
      <c r="P9" s="13"/>
      <c r="Q9" s="13"/>
      <c r="R9" s="13"/>
      <c r="S9" s="14"/>
    </row>
    <row r="10" spans="1:19" x14ac:dyDescent="0.35">
      <c r="A10" s="15">
        <v>1</v>
      </c>
      <c r="B10" s="11">
        <v>2</v>
      </c>
      <c r="C10" s="11">
        <v>3</v>
      </c>
      <c r="D10" s="11">
        <v>0</v>
      </c>
      <c r="E10" s="11">
        <v>0</v>
      </c>
      <c r="F10" s="11">
        <v>0</v>
      </c>
      <c r="G10" s="12"/>
      <c r="H10" s="12"/>
      <c r="I10" s="13" t="s">
        <v>9</v>
      </c>
      <c r="J10" s="13"/>
      <c r="K10" s="13"/>
      <c r="L10" s="13"/>
      <c r="M10" s="13"/>
      <c r="N10" s="13"/>
      <c r="O10" s="13"/>
      <c r="P10" s="13"/>
      <c r="Q10" s="13"/>
      <c r="R10" s="13"/>
      <c r="S10" s="14"/>
    </row>
    <row r="11" spans="1:19" x14ac:dyDescent="0.35">
      <c r="A11" s="15">
        <v>1</v>
      </c>
      <c r="B11" s="11">
        <v>3</v>
      </c>
      <c r="C11" s="11">
        <v>0</v>
      </c>
      <c r="D11" s="11">
        <v>0</v>
      </c>
      <c r="E11" s="11">
        <v>0</v>
      </c>
      <c r="F11" s="11">
        <v>0</v>
      </c>
      <c r="G11" s="12"/>
      <c r="H11" s="12" t="s">
        <v>3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4"/>
    </row>
    <row r="12" spans="1:19" x14ac:dyDescent="0.35">
      <c r="A12" s="15">
        <v>1</v>
      </c>
      <c r="B12" s="11">
        <v>3</v>
      </c>
      <c r="C12" s="11">
        <v>1</v>
      </c>
      <c r="D12" s="11">
        <v>0</v>
      </c>
      <c r="E12" s="11">
        <v>0</v>
      </c>
      <c r="F12" s="11">
        <v>0</v>
      </c>
      <c r="G12" s="12"/>
      <c r="H12" s="12"/>
      <c r="I12" s="13" t="s">
        <v>10</v>
      </c>
      <c r="J12" s="13"/>
      <c r="K12" s="13"/>
      <c r="L12" s="13"/>
      <c r="M12" s="13"/>
      <c r="N12" s="13"/>
      <c r="O12" s="13"/>
      <c r="P12" s="13"/>
      <c r="Q12" s="13"/>
      <c r="R12" s="13"/>
      <c r="S12" s="14"/>
    </row>
    <row r="13" spans="1:19" x14ac:dyDescent="0.35">
      <c r="A13" s="15">
        <v>1</v>
      </c>
      <c r="B13" s="11">
        <v>3</v>
      </c>
      <c r="C13" s="11">
        <v>2</v>
      </c>
      <c r="D13" s="11">
        <v>0</v>
      </c>
      <c r="E13" s="11">
        <v>0</v>
      </c>
      <c r="F13" s="11">
        <v>0</v>
      </c>
      <c r="G13" s="12"/>
      <c r="H13" s="12"/>
      <c r="I13" s="13" t="s">
        <v>11</v>
      </c>
      <c r="J13" s="13"/>
      <c r="K13" s="13"/>
      <c r="L13" s="13"/>
      <c r="M13" s="13"/>
      <c r="N13" s="13"/>
      <c r="O13" s="13"/>
      <c r="P13" s="13"/>
      <c r="Q13" s="13"/>
      <c r="R13" s="13"/>
      <c r="S13" s="14"/>
    </row>
    <row r="14" spans="1:19" x14ac:dyDescent="0.35">
      <c r="A14" s="15">
        <v>1</v>
      </c>
      <c r="B14" s="11">
        <v>3</v>
      </c>
      <c r="C14" s="11">
        <v>3</v>
      </c>
      <c r="D14" s="11">
        <v>0</v>
      </c>
      <c r="E14" s="11">
        <v>0</v>
      </c>
      <c r="F14" s="11">
        <v>0</v>
      </c>
      <c r="G14" s="12"/>
      <c r="H14" s="12"/>
      <c r="I14" s="13" t="s">
        <v>12</v>
      </c>
      <c r="J14" s="13"/>
      <c r="K14" s="13"/>
      <c r="L14" s="13"/>
      <c r="M14" s="13"/>
      <c r="N14" s="13"/>
      <c r="O14" s="13"/>
      <c r="P14" s="13"/>
      <c r="Q14" s="13"/>
      <c r="R14" s="13"/>
      <c r="S14" s="14"/>
    </row>
    <row r="15" spans="1:19" x14ac:dyDescent="0.35">
      <c r="A15" s="15">
        <v>1</v>
      </c>
      <c r="B15" s="11">
        <v>3</v>
      </c>
      <c r="C15" s="11">
        <v>4</v>
      </c>
      <c r="D15" s="11">
        <v>0</v>
      </c>
      <c r="E15" s="11">
        <v>0</v>
      </c>
      <c r="F15" s="11">
        <v>0</v>
      </c>
      <c r="G15" s="12"/>
      <c r="H15" s="12"/>
      <c r="I15" s="13" t="s">
        <v>13</v>
      </c>
      <c r="J15" s="13"/>
      <c r="K15" s="13"/>
      <c r="L15" s="13"/>
      <c r="M15" s="13"/>
      <c r="N15" s="13"/>
      <c r="O15" s="13"/>
      <c r="P15" s="13"/>
      <c r="Q15" s="13"/>
      <c r="R15" s="13"/>
      <c r="S15" s="14"/>
    </row>
    <row r="16" spans="1:19" x14ac:dyDescent="0.35">
      <c r="A16" s="15">
        <v>2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2" t="s">
        <v>14</v>
      </c>
      <c r="H16" s="12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4"/>
    </row>
    <row r="17" spans="1:19" x14ac:dyDescent="0.35">
      <c r="A17" s="15">
        <v>2</v>
      </c>
      <c r="B17" s="11">
        <v>1</v>
      </c>
      <c r="C17" s="11">
        <v>0</v>
      </c>
      <c r="D17" s="11">
        <v>0</v>
      </c>
      <c r="E17" s="11">
        <v>0</v>
      </c>
      <c r="F17" s="11">
        <v>0</v>
      </c>
      <c r="G17" s="12"/>
      <c r="H17" s="12" t="s">
        <v>16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4"/>
    </row>
    <row r="18" spans="1:19" x14ac:dyDescent="0.35">
      <c r="A18" s="15">
        <v>2</v>
      </c>
      <c r="B18" s="11">
        <v>1</v>
      </c>
      <c r="C18" s="11">
        <v>1</v>
      </c>
      <c r="D18" s="11">
        <v>0</v>
      </c>
      <c r="E18" s="11">
        <v>0</v>
      </c>
      <c r="F18" s="11">
        <v>0</v>
      </c>
      <c r="G18" s="12"/>
      <c r="H18" s="12"/>
      <c r="I18" s="13" t="s">
        <v>21</v>
      </c>
      <c r="J18" s="13"/>
      <c r="K18" s="13"/>
      <c r="L18" s="13"/>
      <c r="M18" s="13"/>
      <c r="N18" s="13"/>
      <c r="O18" s="13"/>
      <c r="P18" s="13"/>
      <c r="Q18" s="13"/>
      <c r="R18" s="13"/>
      <c r="S18" s="14"/>
    </row>
    <row r="19" spans="1:19" x14ac:dyDescent="0.35">
      <c r="A19" s="15">
        <v>2</v>
      </c>
      <c r="B19" s="11">
        <v>1</v>
      </c>
      <c r="C19" s="11">
        <v>2</v>
      </c>
      <c r="D19" s="11">
        <v>0</v>
      </c>
      <c r="E19" s="11">
        <v>0</v>
      </c>
      <c r="F19" s="11">
        <v>0</v>
      </c>
      <c r="G19" s="12"/>
      <c r="H19" s="12"/>
      <c r="I19" s="13" t="s">
        <v>22</v>
      </c>
      <c r="J19" s="13"/>
      <c r="K19" s="13"/>
      <c r="L19" s="13"/>
      <c r="M19" s="13"/>
      <c r="N19" s="13"/>
      <c r="O19" s="13"/>
      <c r="P19" s="13"/>
      <c r="Q19" s="13"/>
      <c r="R19" s="13"/>
      <c r="S19" s="14"/>
    </row>
    <row r="20" spans="1:19" x14ac:dyDescent="0.35">
      <c r="A20" s="15">
        <v>2</v>
      </c>
      <c r="B20" s="11">
        <v>1</v>
      </c>
      <c r="C20" s="11">
        <v>3</v>
      </c>
      <c r="D20" s="11">
        <v>0</v>
      </c>
      <c r="E20" s="11">
        <v>0</v>
      </c>
      <c r="F20" s="11">
        <v>0</v>
      </c>
      <c r="G20" s="12"/>
      <c r="H20" s="12"/>
      <c r="I20" s="13" t="s">
        <v>23</v>
      </c>
      <c r="J20" s="13"/>
      <c r="K20" s="13"/>
      <c r="L20" s="13"/>
      <c r="M20" s="13"/>
      <c r="N20" s="13"/>
      <c r="O20" s="13"/>
      <c r="P20" s="13"/>
      <c r="Q20" s="13"/>
      <c r="R20" s="13"/>
      <c r="S20" s="14"/>
    </row>
    <row r="21" spans="1:19" x14ac:dyDescent="0.35">
      <c r="A21" s="15">
        <v>2</v>
      </c>
      <c r="B21" s="11">
        <v>1</v>
      </c>
      <c r="C21" s="11">
        <v>4</v>
      </c>
      <c r="D21" s="11">
        <v>0</v>
      </c>
      <c r="E21" s="11">
        <v>0</v>
      </c>
      <c r="F21" s="11">
        <v>0</v>
      </c>
      <c r="G21" s="12"/>
      <c r="H21" s="12"/>
      <c r="I21" s="13" t="s">
        <v>24</v>
      </c>
      <c r="J21" s="13"/>
      <c r="K21" s="13"/>
      <c r="L21" s="13"/>
      <c r="M21" s="13"/>
      <c r="N21" s="13"/>
      <c r="O21" s="13"/>
      <c r="P21" s="13"/>
      <c r="Q21" s="13"/>
      <c r="R21" s="13"/>
      <c r="S21" s="14"/>
    </row>
    <row r="22" spans="1:19" x14ac:dyDescent="0.35">
      <c r="A22" s="15">
        <v>2</v>
      </c>
      <c r="B22" s="11">
        <v>1</v>
      </c>
      <c r="C22" s="11">
        <v>5</v>
      </c>
      <c r="D22" s="11">
        <v>0</v>
      </c>
      <c r="E22" s="11">
        <v>0</v>
      </c>
      <c r="F22" s="11">
        <v>0</v>
      </c>
      <c r="G22" s="12"/>
      <c r="H22" s="12"/>
      <c r="I22" s="13" t="s">
        <v>25</v>
      </c>
      <c r="J22" s="13"/>
      <c r="K22" s="13"/>
      <c r="L22" s="13"/>
      <c r="M22" s="13"/>
      <c r="N22" s="13"/>
      <c r="O22" s="13"/>
      <c r="P22" s="13"/>
      <c r="Q22" s="13"/>
      <c r="R22" s="13"/>
      <c r="S22" s="14"/>
    </row>
    <row r="23" spans="1:19" x14ac:dyDescent="0.35">
      <c r="A23" s="15">
        <v>2</v>
      </c>
      <c r="B23" s="11">
        <v>2</v>
      </c>
      <c r="C23" s="11">
        <v>0</v>
      </c>
      <c r="D23" s="11">
        <v>0</v>
      </c>
      <c r="E23" s="11">
        <v>0</v>
      </c>
      <c r="F23" s="11">
        <v>0</v>
      </c>
      <c r="G23" s="12"/>
      <c r="H23" s="12" t="s">
        <v>17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4"/>
    </row>
    <row r="24" spans="1:19" x14ac:dyDescent="0.35">
      <c r="A24" s="15">
        <v>2</v>
      </c>
      <c r="B24" s="11">
        <v>2</v>
      </c>
      <c r="C24" s="11">
        <v>1</v>
      </c>
      <c r="D24" s="11">
        <v>0</v>
      </c>
      <c r="E24" s="11">
        <v>0</v>
      </c>
      <c r="F24" s="11">
        <v>0</v>
      </c>
      <c r="G24" s="12"/>
      <c r="H24" s="12"/>
      <c r="I24" s="13" t="s">
        <v>26</v>
      </c>
      <c r="J24" s="13"/>
      <c r="K24" s="13"/>
      <c r="L24" s="13"/>
      <c r="M24" s="13"/>
      <c r="N24" s="13"/>
      <c r="O24" s="13"/>
      <c r="P24" s="13"/>
      <c r="Q24" s="13"/>
      <c r="R24" s="13"/>
      <c r="S24" s="14"/>
    </row>
    <row r="25" spans="1:19" x14ac:dyDescent="0.35">
      <c r="A25" s="15">
        <v>2</v>
      </c>
      <c r="B25" s="11">
        <v>2</v>
      </c>
      <c r="C25" s="11">
        <v>2</v>
      </c>
      <c r="D25" s="11">
        <v>0</v>
      </c>
      <c r="E25" s="11">
        <v>0</v>
      </c>
      <c r="F25" s="11">
        <v>0</v>
      </c>
      <c r="G25" s="12"/>
      <c r="H25" s="12"/>
      <c r="I25" s="13" t="s">
        <v>27</v>
      </c>
      <c r="J25" s="13"/>
      <c r="K25" s="13"/>
      <c r="L25" s="13"/>
      <c r="M25" s="13"/>
      <c r="N25" s="13"/>
      <c r="O25" s="13"/>
      <c r="P25" s="13"/>
      <c r="Q25" s="13"/>
      <c r="R25" s="13"/>
      <c r="S25" s="14"/>
    </row>
    <row r="26" spans="1:19" x14ac:dyDescent="0.35">
      <c r="A26" s="15">
        <v>2</v>
      </c>
      <c r="B26" s="11">
        <v>2</v>
      </c>
      <c r="C26" s="11">
        <v>3</v>
      </c>
      <c r="D26" s="11">
        <v>0</v>
      </c>
      <c r="E26" s="11">
        <v>0</v>
      </c>
      <c r="F26" s="11">
        <v>0</v>
      </c>
      <c r="G26" s="12"/>
      <c r="H26" s="12"/>
      <c r="I26" s="13" t="s">
        <v>28</v>
      </c>
      <c r="J26" s="13"/>
      <c r="K26" s="13"/>
      <c r="L26" s="13"/>
      <c r="M26" s="13"/>
      <c r="N26" s="13"/>
      <c r="O26" s="13"/>
      <c r="P26" s="13"/>
      <c r="Q26" s="13"/>
      <c r="R26" s="13"/>
      <c r="S26" s="14"/>
    </row>
    <row r="27" spans="1:19" x14ac:dyDescent="0.35">
      <c r="A27" s="15">
        <v>2</v>
      </c>
      <c r="B27" s="11">
        <v>2</v>
      </c>
      <c r="C27" s="11">
        <v>4</v>
      </c>
      <c r="D27" s="11">
        <v>0</v>
      </c>
      <c r="E27" s="11">
        <v>0</v>
      </c>
      <c r="F27" s="11">
        <v>0</v>
      </c>
      <c r="G27" s="12"/>
      <c r="H27" s="12"/>
      <c r="I27" s="13" t="s">
        <v>29</v>
      </c>
      <c r="J27" s="13"/>
      <c r="K27" s="13"/>
      <c r="L27" s="13"/>
      <c r="M27" s="13"/>
      <c r="N27" s="13"/>
      <c r="O27" s="13"/>
      <c r="P27" s="13"/>
      <c r="Q27" s="13"/>
      <c r="R27" s="13"/>
      <c r="S27" s="14"/>
    </row>
    <row r="28" spans="1:19" x14ac:dyDescent="0.35">
      <c r="A28" s="15">
        <v>2</v>
      </c>
      <c r="B28" s="11">
        <v>3</v>
      </c>
      <c r="C28" s="11">
        <v>0</v>
      </c>
      <c r="D28" s="11">
        <v>0</v>
      </c>
      <c r="E28" s="11">
        <v>0</v>
      </c>
      <c r="F28" s="11">
        <v>0</v>
      </c>
      <c r="G28" s="12"/>
      <c r="H28" s="12" t="s">
        <v>18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4"/>
    </row>
    <row r="29" spans="1:19" x14ac:dyDescent="0.35">
      <c r="A29" s="15">
        <v>2</v>
      </c>
      <c r="B29" s="11">
        <v>3</v>
      </c>
      <c r="C29" s="11">
        <v>1</v>
      </c>
      <c r="D29" s="11">
        <v>0</v>
      </c>
      <c r="E29" s="11">
        <v>0</v>
      </c>
      <c r="F29" s="11">
        <v>0</v>
      </c>
      <c r="G29" s="12"/>
      <c r="H29" s="12"/>
      <c r="I29" s="13" t="s">
        <v>30</v>
      </c>
      <c r="J29" s="13"/>
      <c r="K29" s="13"/>
      <c r="L29" s="13"/>
      <c r="M29" s="13"/>
      <c r="N29" s="13"/>
      <c r="O29" s="13"/>
      <c r="P29" s="13"/>
      <c r="Q29" s="13"/>
      <c r="R29" s="13"/>
      <c r="S29" s="14"/>
    </row>
    <row r="30" spans="1:19" x14ac:dyDescent="0.35">
      <c r="A30" s="15">
        <v>2</v>
      </c>
      <c r="B30" s="11">
        <v>3</v>
      </c>
      <c r="C30" s="11">
        <v>2</v>
      </c>
      <c r="D30" s="11">
        <v>0</v>
      </c>
      <c r="E30" s="11">
        <v>0</v>
      </c>
      <c r="F30" s="11">
        <v>0</v>
      </c>
      <c r="G30" s="12"/>
      <c r="H30" s="12"/>
      <c r="I30" s="13" t="s">
        <v>31</v>
      </c>
      <c r="J30" s="13"/>
      <c r="K30" s="13"/>
      <c r="L30" s="13"/>
      <c r="M30" s="13"/>
      <c r="N30" s="13"/>
      <c r="O30" s="13"/>
      <c r="P30" s="13"/>
      <c r="Q30" s="13"/>
      <c r="R30" s="13"/>
      <c r="S30" s="14"/>
    </row>
    <row r="31" spans="1:19" x14ac:dyDescent="0.35">
      <c r="A31" s="15">
        <v>2</v>
      </c>
      <c r="B31" s="11">
        <v>3</v>
      </c>
      <c r="C31" s="11">
        <v>3</v>
      </c>
      <c r="D31" s="11">
        <v>0</v>
      </c>
      <c r="E31" s="11">
        <v>0</v>
      </c>
      <c r="F31" s="11">
        <v>0</v>
      </c>
      <c r="G31" s="12"/>
      <c r="H31" s="12"/>
      <c r="I31" s="13" t="s">
        <v>32</v>
      </c>
      <c r="J31" s="13"/>
      <c r="K31" s="13"/>
      <c r="L31" s="13"/>
      <c r="M31" s="13"/>
      <c r="N31" s="13"/>
      <c r="O31" s="13"/>
      <c r="P31" s="13"/>
      <c r="Q31" s="13"/>
      <c r="R31" s="13"/>
      <c r="S31" s="14"/>
    </row>
    <row r="32" spans="1:19" x14ac:dyDescent="0.35">
      <c r="A32" s="15">
        <v>2</v>
      </c>
      <c r="B32" s="11">
        <v>3</v>
      </c>
      <c r="C32" s="11">
        <v>4</v>
      </c>
      <c r="D32" s="11">
        <v>0</v>
      </c>
      <c r="E32" s="11">
        <v>0</v>
      </c>
      <c r="F32" s="11">
        <v>0</v>
      </c>
      <c r="G32" s="12"/>
      <c r="H32" s="12"/>
      <c r="I32" s="13" t="s">
        <v>33</v>
      </c>
      <c r="J32" s="13"/>
      <c r="K32" s="13"/>
      <c r="L32" s="13"/>
      <c r="M32" s="13"/>
      <c r="N32" s="13"/>
      <c r="O32" s="13"/>
      <c r="P32" s="13"/>
      <c r="Q32" s="13"/>
      <c r="R32" s="13"/>
      <c r="S32" s="14"/>
    </row>
    <row r="33" spans="1:19" x14ac:dyDescent="0.35">
      <c r="A33" s="15">
        <v>2</v>
      </c>
      <c r="B33" s="11">
        <v>4</v>
      </c>
      <c r="C33" s="11">
        <v>0</v>
      </c>
      <c r="D33" s="11">
        <v>0</v>
      </c>
      <c r="E33" s="11">
        <v>0</v>
      </c>
      <c r="F33" s="11">
        <v>0</v>
      </c>
      <c r="G33" s="12"/>
      <c r="H33" s="12" t="s">
        <v>19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4"/>
    </row>
    <row r="34" spans="1:19" x14ac:dyDescent="0.35">
      <c r="A34" s="15">
        <v>2</v>
      </c>
      <c r="B34" s="11">
        <v>4</v>
      </c>
      <c r="C34" s="11">
        <v>1</v>
      </c>
      <c r="D34" s="11">
        <v>0</v>
      </c>
      <c r="E34" s="11">
        <v>0</v>
      </c>
      <c r="F34" s="11">
        <v>0</v>
      </c>
      <c r="G34" s="12"/>
      <c r="H34" s="12"/>
      <c r="I34" s="13" t="s">
        <v>34</v>
      </c>
      <c r="J34" s="13"/>
      <c r="K34" s="13"/>
      <c r="L34" s="13"/>
      <c r="M34" s="13"/>
      <c r="N34" s="13"/>
      <c r="O34" s="13"/>
      <c r="P34" s="13"/>
      <c r="Q34" s="13"/>
      <c r="R34" s="13"/>
      <c r="S34" s="14"/>
    </row>
    <row r="35" spans="1:19" x14ac:dyDescent="0.35">
      <c r="A35" s="15">
        <v>2</v>
      </c>
      <c r="B35" s="11">
        <v>5</v>
      </c>
      <c r="C35" s="11">
        <v>0</v>
      </c>
      <c r="D35" s="11">
        <v>0</v>
      </c>
      <c r="E35" s="11">
        <v>0</v>
      </c>
      <c r="F35" s="11">
        <v>0</v>
      </c>
      <c r="G35" s="12"/>
      <c r="H35" s="12" t="s">
        <v>20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</row>
    <row r="36" spans="1:19" x14ac:dyDescent="0.35">
      <c r="A36" s="15">
        <v>2</v>
      </c>
      <c r="B36" s="11">
        <v>5</v>
      </c>
      <c r="C36" s="11">
        <v>1</v>
      </c>
      <c r="D36" s="11">
        <v>0</v>
      </c>
      <c r="E36" s="11">
        <v>0</v>
      </c>
      <c r="F36" s="11">
        <v>0</v>
      </c>
      <c r="G36" s="12"/>
      <c r="H36" s="12"/>
      <c r="I36" s="13" t="s">
        <v>35</v>
      </c>
      <c r="J36" s="13"/>
      <c r="K36" s="13"/>
      <c r="L36" s="13"/>
      <c r="M36" s="13"/>
      <c r="N36" s="13"/>
      <c r="O36" s="13"/>
      <c r="P36" s="13"/>
      <c r="Q36" s="13"/>
      <c r="R36" s="13"/>
      <c r="S36" s="14"/>
    </row>
    <row r="37" spans="1:19" x14ac:dyDescent="0.35">
      <c r="A37" s="15">
        <v>2</v>
      </c>
      <c r="B37" s="11">
        <v>5</v>
      </c>
      <c r="C37" s="11">
        <v>2</v>
      </c>
      <c r="D37" s="11">
        <v>0</v>
      </c>
      <c r="E37" s="11">
        <v>0</v>
      </c>
      <c r="F37" s="11">
        <v>0</v>
      </c>
      <c r="G37" s="12"/>
      <c r="H37" s="12"/>
      <c r="I37" s="13" t="s">
        <v>36</v>
      </c>
      <c r="J37" s="13"/>
      <c r="K37" s="13"/>
      <c r="L37" s="13"/>
      <c r="M37" s="13"/>
      <c r="N37" s="13"/>
      <c r="O37" s="13"/>
      <c r="P37" s="13"/>
      <c r="Q37" s="13"/>
      <c r="R37" s="13"/>
      <c r="S37" s="14"/>
    </row>
    <row r="38" spans="1:19" x14ac:dyDescent="0.35">
      <c r="A38" s="15"/>
      <c r="B38" s="11"/>
      <c r="C38" s="11"/>
      <c r="D38" s="11"/>
      <c r="E38" s="11"/>
      <c r="F38" s="11"/>
      <c r="G38" s="12"/>
      <c r="H38" s="12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4"/>
    </row>
    <row r="39" spans="1:19" s="3" customFormat="1" x14ac:dyDescent="0.35">
      <c r="A39" s="16" t="s">
        <v>38</v>
      </c>
      <c r="B39" s="17"/>
      <c r="C39" s="17"/>
      <c r="D39" s="17"/>
      <c r="E39" s="17"/>
      <c r="F39" s="17"/>
      <c r="G39" s="18"/>
      <c r="H39" s="18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9"/>
    </row>
    <row r="40" spans="1:19" s="3" customFormat="1" x14ac:dyDescent="0.35">
      <c r="A40" s="16" t="s">
        <v>39</v>
      </c>
      <c r="B40" s="17"/>
      <c r="C40" s="17"/>
      <c r="D40" s="17"/>
      <c r="E40" s="17"/>
      <c r="F40" s="17"/>
      <c r="G40" s="18"/>
      <c r="H40" s="18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9"/>
    </row>
    <row r="41" spans="1:19" s="3" customFormat="1" x14ac:dyDescent="0.35">
      <c r="A41" s="16"/>
      <c r="B41" s="17"/>
      <c r="C41" s="17"/>
      <c r="D41" s="17"/>
      <c r="E41" s="17"/>
      <c r="F41" s="17"/>
      <c r="G41" s="18"/>
      <c r="H41" s="18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9"/>
    </row>
  </sheetData>
  <sheetProtection sheet="1" objects="1" scenarios="1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A0642-A56A-4D54-863A-CFE14B17EAB2}">
  <sheetPr>
    <pageSetUpPr fitToPage="1"/>
  </sheetPr>
  <dimension ref="A1:G35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9.26953125" style="1" customWidth="1"/>
    <col min="2" max="2" width="48.1796875" bestFit="1" customWidth="1"/>
    <col min="3" max="3" width="10.26953125" style="1" customWidth="1"/>
    <col min="4" max="4" width="13.54296875" customWidth="1"/>
    <col min="5" max="5" width="12.453125" bestFit="1" customWidth="1"/>
    <col min="6" max="6" width="10.6328125" bestFit="1" customWidth="1"/>
    <col min="7" max="7" width="20.36328125" bestFit="1" customWidth="1"/>
  </cols>
  <sheetData>
    <row r="1" spans="1:7" s="5" customFormat="1" x14ac:dyDescent="0.35">
      <c r="A1" s="5" t="s">
        <v>383</v>
      </c>
      <c r="B1" s="5" t="s">
        <v>382</v>
      </c>
      <c r="C1" s="5" t="s">
        <v>735</v>
      </c>
      <c r="D1" s="5" t="s">
        <v>736</v>
      </c>
      <c r="E1" s="5" t="s">
        <v>737</v>
      </c>
      <c r="F1" s="5" t="s">
        <v>738</v>
      </c>
      <c r="G1" s="5" t="s">
        <v>739</v>
      </c>
    </row>
    <row r="2" spans="1:7" x14ac:dyDescent="0.35">
      <c r="A2" s="1" t="s">
        <v>385</v>
      </c>
      <c r="B2" t="s">
        <v>40</v>
      </c>
      <c r="C2" s="1">
        <v>1</v>
      </c>
      <c r="D2" s="4">
        <v>3000000</v>
      </c>
    </row>
    <row r="3" spans="1:7" x14ac:dyDescent="0.35">
      <c r="A3" s="1" t="s">
        <v>386</v>
      </c>
      <c r="B3" t="s">
        <v>41</v>
      </c>
      <c r="C3" s="1">
        <v>4</v>
      </c>
      <c r="D3" s="4">
        <v>1000000</v>
      </c>
    </row>
    <row r="4" spans="1:7" x14ac:dyDescent="0.35">
      <c r="A4" s="1" t="s">
        <v>387</v>
      </c>
      <c r="B4" t="s">
        <v>42</v>
      </c>
      <c r="C4" s="1">
        <v>4</v>
      </c>
      <c r="D4" s="4">
        <v>1000000</v>
      </c>
    </row>
    <row r="5" spans="1:7" x14ac:dyDescent="0.35">
      <c r="A5" s="1" t="s">
        <v>388</v>
      </c>
      <c r="B5" t="s">
        <v>43</v>
      </c>
      <c r="C5" s="1">
        <v>2</v>
      </c>
      <c r="D5" s="4">
        <v>2000000</v>
      </c>
    </row>
    <row r="6" spans="1:7" x14ac:dyDescent="0.35">
      <c r="A6" s="1" t="s">
        <v>389</v>
      </c>
      <c r="B6" t="s">
        <v>44</v>
      </c>
      <c r="C6" s="1">
        <v>4</v>
      </c>
      <c r="D6" s="4">
        <v>1000000</v>
      </c>
    </row>
    <row r="7" spans="1:7" x14ac:dyDescent="0.35">
      <c r="A7" s="1" t="s">
        <v>390</v>
      </c>
      <c r="B7" t="s">
        <v>45</v>
      </c>
      <c r="C7" s="1">
        <v>3</v>
      </c>
      <c r="D7" s="4">
        <v>1500000</v>
      </c>
    </row>
    <row r="8" spans="1:7" x14ac:dyDescent="0.35">
      <c r="A8" s="1" t="s">
        <v>391</v>
      </c>
      <c r="B8" t="s">
        <v>46</v>
      </c>
      <c r="C8" s="1">
        <v>3</v>
      </c>
      <c r="D8" s="4">
        <v>1500000</v>
      </c>
    </row>
    <row r="9" spans="1:7" x14ac:dyDescent="0.35">
      <c r="A9" s="1" t="s">
        <v>392</v>
      </c>
      <c r="B9" t="s">
        <v>47</v>
      </c>
      <c r="C9" s="1">
        <v>4</v>
      </c>
      <c r="D9" s="4">
        <v>1000000</v>
      </c>
    </row>
    <row r="10" spans="1:7" x14ac:dyDescent="0.35">
      <c r="A10" s="1" t="s">
        <v>393</v>
      </c>
      <c r="B10" t="s">
        <v>48</v>
      </c>
      <c r="C10" s="1">
        <v>3</v>
      </c>
      <c r="D10" s="4">
        <v>1500000</v>
      </c>
    </row>
    <row r="11" spans="1:7" x14ac:dyDescent="0.35">
      <c r="A11" s="1" t="s">
        <v>394</v>
      </c>
      <c r="B11" t="s">
        <v>49</v>
      </c>
      <c r="C11" s="1">
        <v>3</v>
      </c>
      <c r="D11" s="4">
        <v>1500000</v>
      </c>
    </row>
    <row r="12" spans="1:7" x14ac:dyDescent="0.35">
      <c r="A12" s="1" t="s">
        <v>395</v>
      </c>
      <c r="B12" t="s">
        <v>50</v>
      </c>
      <c r="C12" s="1">
        <v>2</v>
      </c>
      <c r="D12" s="4">
        <v>2000000</v>
      </c>
    </row>
    <row r="13" spans="1:7" x14ac:dyDescent="0.35">
      <c r="A13" s="1" t="s">
        <v>396</v>
      </c>
      <c r="B13" t="s">
        <v>51</v>
      </c>
      <c r="C13" s="1">
        <v>2</v>
      </c>
      <c r="D13" s="4">
        <v>2000000</v>
      </c>
    </row>
    <row r="14" spans="1:7" x14ac:dyDescent="0.35">
      <c r="A14" s="1" t="s">
        <v>397</v>
      </c>
      <c r="B14" t="s">
        <v>52</v>
      </c>
      <c r="C14" s="1">
        <v>2</v>
      </c>
      <c r="D14" s="4">
        <v>2000000</v>
      </c>
    </row>
    <row r="15" spans="1:7" x14ac:dyDescent="0.35">
      <c r="A15" s="1" t="s">
        <v>398</v>
      </c>
      <c r="B15" t="s">
        <v>53</v>
      </c>
      <c r="C15" s="1">
        <v>2</v>
      </c>
      <c r="D15" s="4">
        <v>2000000</v>
      </c>
    </row>
    <row r="16" spans="1:7" x14ac:dyDescent="0.35">
      <c r="A16" s="1" t="s">
        <v>399</v>
      </c>
      <c r="B16" t="s">
        <v>54</v>
      </c>
      <c r="C16" s="1">
        <v>3</v>
      </c>
      <c r="D16" s="4">
        <v>1500000</v>
      </c>
    </row>
    <row r="17" spans="1:4" x14ac:dyDescent="0.35">
      <c r="A17" s="1" t="s">
        <v>400</v>
      </c>
      <c r="B17" t="s">
        <v>55</v>
      </c>
      <c r="C17" s="1">
        <v>4</v>
      </c>
      <c r="D17" s="4">
        <v>1000000</v>
      </c>
    </row>
    <row r="18" spans="1:4" x14ac:dyDescent="0.35">
      <c r="A18" s="1" t="s">
        <v>401</v>
      </c>
      <c r="B18" t="s">
        <v>56</v>
      </c>
      <c r="C18" s="1">
        <v>3</v>
      </c>
      <c r="D18" s="4">
        <v>1500000</v>
      </c>
    </row>
    <row r="19" spans="1:4" x14ac:dyDescent="0.35">
      <c r="A19" s="1" t="s">
        <v>402</v>
      </c>
      <c r="B19" t="s">
        <v>57</v>
      </c>
      <c r="C19" s="1">
        <v>4</v>
      </c>
      <c r="D19" s="4">
        <v>1000000</v>
      </c>
    </row>
    <row r="20" spans="1:4" x14ac:dyDescent="0.35">
      <c r="A20" s="1" t="s">
        <v>403</v>
      </c>
      <c r="B20" t="s">
        <v>58</v>
      </c>
      <c r="C20" s="1">
        <v>2</v>
      </c>
      <c r="D20" s="4">
        <v>2000000</v>
      </c>
    </row>
    <row r="21" spans="1:4" x14ac:dyDescent="0.35">
      <c r="A21" s="1" t="s">
        <v>404</v>
      </c>
      <c r="B21" t="s">
        <v>59</v>
      </c>
      <c r="C21" s="1">
        <v>3</v>
      </c>
      <c r="D21" s="4">
        <v>1500000</v>
      </c>
    </row>
    <row r="22" spans="1:4" x14ac:dyDescent="0.35">
      <c r="A22" s="1" t="s">
        <v>405</v>
      </c>
      <c r="B22" t="s">
        <v>60</v>
      </c>
      <c r="C22" s="1">
        <v>3</v>
      </c>
      <c r="D22" s="4">
        <v>1500000</v>
      </c>
    </row>
    <row r="23" spans="1:4" x14ac:dyDescent="0.35">
      <c r="A23" s="1" t="s">
        <v>406</v>
      </c>
      <c r="B23" t="s">
        <v>61</v>
      </c>
      <c r="C23" s="1">
        <v>3</v>
      </c>
      <c r="D23" s="4">
        <v>1500000</v>
      </c>
    </row>
    <row r="24" spans="1:4" x14ac:dyDescent="0.35">
      <c r="A24" s="1" t="s">
        <v>407</v>
      </c>
      <c r="B24" t="s">
        <v>62</v>
      </c>
      <c r="C24" s="1">
        <v>2</v>
      </c>
      <c r="D24" s="4">
        <v>2000000</v>
      </c>
    </row>
    <row r="25" spans="1:4" x14ac:dyDescent="0.35">
      <c r="A25" s="1" t="s">
        <v>408</v>
      </c>
      <c r="B25" t="s">
        <v>63</v>
      </c>
      <c r="C25" s="1">
        <v>3</v>
      </c>
      <c r="D25" s="4">
        <v>1500000</v>
      </c>
    </row>
    <row r="26" spans="1:4" x14ac:dyDescent="0.35">
      <c r="A26" s="1" t="s">
        <v>409</v>
      </c>
      <c r="B26" t="s">
        <v>64</v>
      </c>
      <c r="C26" s="1">
        <v>3</v>
      </c>
      <c r="D26" s="4">
        <v>1500000</v>
      </c>
    </row>
    <row r="27" spans="1:4" x14ac:dyDescent="0.35">
      <c r="A27" s="1" t="s">
        <v>410</v>
      </c>
      <c r="B27" t="s">
        <v>65</v>
      </c>
      <c r="C27" s="1">
        <v>4</v>
      </c>
      <c r="D27" s="4">
        <v>1000000</v>
      </c>
    </row>
    <row r="28" spans="1:4" x14ac:dyDescent="0.35">
      <c r="A28" s="1" t="s">
        <v>411</v>
      </c>
      <c r="B28" t="s">
        <v>66</v>
      </c>
      <c r="C28" s="1">
        <v>3</v>
      </c>
      <c r="D28" s="4">
        <v>1500000</v>
      </c>
    </row>
    <row r="29" spans="1:4" x14ac:dyDescent="0.35">
      <c r="A29" s="1" t="s">
        <v>412</v>
      </c>
      <c r="B29" t="s">
        <v>67</v>
      </c>
      <c r="C29" s="1">
        <v>3</v>
      </c>
      <c r="D29" s="4">
        <v>1500000</v>
      </c>
    </row>
    <row r="30" spans="1:4" x14ac:dyDescent="0.35">
      <c r="A30" s="1" t="s">
        <v>413</v>
      </c>
      <c r="B30" t="s">
        <v>68</v>
      </c>
      <c r="C30" s="1">
        <v>3</v>
      </c>
      <c r="D30" s="4">
        <v>1500000</v>
      </c>
    </row>
    <row r="31" spans="1:4" x14ac:dyDescent="0.35">
      <c r="A31" s="1" t="s">
        <v>414</v>
      </c>
      <c r="B31" t="s">
        <v>69</v>
      </c>
      <c r="C31" s="1">
        <v>4</v>
      </c>
      <c r="D31" s="4">
        <v>1000000</v>
      </c>
    </row>
    <row r="32" spans="1:4" x14ac:dyDescent="0.35">
      <c r="A32" s="1" t="s">
        <v>415</v>
      </c>
      <c r="B32" t="s">
        <v>70</v>
      </c>
      <c r="C32" s="1">
        <v>3</v>
      </c>
      <c r="D32" s="4">
        <v>1500000</v>
      </c>
    </row>
    <row r="33" spans="1:4" x14ac:dyDescent="0.35">
      <c r="A33" s="1" t="s">
        <v>416</v>
      </c>
      <c r="B33" t="s">
        <v>71</v>
      </c>
      <c r="C33" s="1">
        <v>4</v>
      </c>
      <c r="D33" s="4">
        <v>1000000</v>
      </c>
    </row>
    <row r="34" spans="1:4" x14ac:dyDescent="0.35">
      <c r="A34" s="1" t="s">
        <v>417</v>
      </c>
      <c r="B34" t="s">
        <v>72</v>
      </c>
      <c r="C34" s="1">
        <v>3</v>
      </c>
      <c r="D34" s="4">
        <v>1500000</v>
      </c>
    </row>
    <row r="35" spans="1:4" x14ac:dyDescent="0.35">
      <c r="A35" s="1" t="s">
        <v>418</v>
      </c>
      <c r="B35" t="s">
        <v>73</v>
      </c>
      <c r="C35" s="1">
        <v>4</v>
      </c>
      <c r="D35" s="4">
        <v>1000000</v>
      </c>
    </row>
    <row r="36" spans="1:4" x14ac:dyDescent="0.35">
      <c r="A36" s="1" t="s">
        <v>419</v>
      </c>
      <c r="B36" t="s">
        <v>74</v>
      </c>
      <c r="C36" s="1">
        <v>4</v>
      </c>
      <c r="D36" s="4">
        <v>1000000</v>
      </c>
    </row>
    <row r="37" spans="1:4" x14ac:dyDescent="0.35">
      <c r="A37" s="1" t="s">
        <v>420</v>
      </c>
      <c r="B37" t="s">
        <v>75</v>
      </c>
      <c r="C37" s="1">
        <v>3</v>
      </c>
      <c r="D37" s="4">
        <v>1500000</v>
      </c>
    </row>
    <row r="38" spans="1:4" x14ac:dyDescent="0.35">
      <c r="A38" s="1" t="s">
        <v>421</v>
      </c>
      <c r="B38" t="s">
        <v>76</v>
      </c>
      <c r="C38" s="1">
        <v>3</v>
      </c>
      <c r="D38" s="4">
        <v>1500000</v>
      </c>
    </row>
    <row r="39" spans="1:4" x14ac:dyDescent="0.35">
      <c r="A39" s="1" t="s">
        <v>422</v>
      </c>
      <c r="B39" t="s">
        <v>77</v>
      </c>
      <c r="C39" s="1">
        <v>3</v>
      </c>
      <c r="D39" s="4">
        <v>1500000</v>
      </c>
    </row>
    <row r="40" spans="1:4" x14ac:dyDescent="0.35">
      <c r="A40" s="1" t="s">
        <v>423</v>
      </c>
      <c r="B40" t="s">
        <v>78</v>
      </c>
      <c r="C40" s="1">
        <v>3</v>
      </c>
      <c r="D40" s="4">
        <v>1500000</v>
      </c>
    </row>
    <row r="41" spans="1:4" x14ac:dyDescent="0.35">
      <c r="A41" s="1" t="s">
        <v>424</v>
      </c>
      <c r="B41" t="s">
        <v>79</v>
      </c>
      <c r="C41" s="1">
        <v>3</v>
      </c>
      <c r="D41" s="4">
        <v>1500000</v>
      </c>
    </row>
    <row r="42" spans="1:4" x14ac:dyDescent="0.35">
      <c r="A42" s="1" t="s">
        <v>425</v>
      </c>
      <c r="B42" t="s">
        <v>80</v>
      </c>
      <c r="C42" s="1">
        <v>4</v>
      </c>
      <c r="D42" s="4">
        <v>1000000</v>
      </c>
    </row>
    <row r="43" spans="1:4" x14ac:dyDescent="0.35">
      <c r="A43" s="1" t="s">
        <v>426</v>
      </c>
      <c r="B43" t="s">
        <v>81</v>
      </c>
      <c r="C43" s="1">
        <v>3</v>
      </c>
      <c r="D43" s="4">
        <v>1500000</v>
      </c>
    </row>
    <row r="44" spans="1:4" x14ac:dyDescent="0.35">
      <c r="A44" s="1" t="s">
        <v>427</v>
      </c>
      <c r="B44" t="s">
        <v>82</v>
      </c>
      <c r="C44" s="1">
        <v>3</v>
      </c>
      <c r="D44" s="4">
        <v>1497100</v>
      </c>
    </row>
    <row r="45" spans="1:4" x14ac:dyDescent="0.35">
      <c r="A45" s="1" t="s">
        <v>428</v>
      </c>
      <c r="B45" t="s">
        <v>83</v>
      </c>
      <c r="C45" s="1">
        <v>3</v>
      </c>
      <c r="D45" s="4">
        <v>1497100</v>
      </c>
    </row>
    <row r="46" spans="1:4" x14ac:dyDescent="0.35">
      <c r="A46" s="1" t="s">
        <v>429</v>
      </c>
      <c r="B46" t="s">
        <v>84</v>
      </c>
      <c r="C46" s="1">
        <v>4</v>
      </c>
      <c r="D46" s="4">
        <v>1000000</v>
      </c>
    </row>
    <row r="47" spans="1:4" x14ac:dyDescent="0.35">
      <c r="A47" s="1" t="s">
        <v>430</v>
      </c>
      <c r="B47" t="s">
        <v>85</v>
      </c>
      <c r="C47" s="1">
        <v>3</v>
      </c>
      <c r="D47" s="4">
        <v>1500000</v>
      </c>
    </row>
    <row r="48" spans="1:4" x14ac:dyDescent="0.35">
      <c r="A48" s="1" t="s">
        <v>431</v>
      </c>
      <c r="B48" t="s">
        <v>86</v>
      </c>
      <c r="C48" s="1">
        <v>4</v>
      </c>
      <c r="D48" s="4">
        <v>1000000</v>
      </c>
    </row>
    <row r="49" spans="1:4" x14ac:dyDescent="0.35">
      <c r="A49" s="1" t="s">
        <v>432</v>
      </c>
      <c r="B49" t="s">
        <v>87</v>
      </c>
      <c r="C49" s="1">
        <v>3</v>
      </c>
      <c r="D49" s="4">
        <v>1500000</v>
      </c>
    </row>
    <row r="50" spans="1:4" x14ac:dyDescent="0.35">
      <c r="A50" s="1" t="s">
        <v>433</v>
      </c>
      <c r="B50" t="s">
        <v>88</v>
      </c>
      <c r="C50" s="1">
        <v>2</v>
      </c>
      <c r="D50" s="4">
        <v>2000000</v>
      </c>
    </row>
    <row r="51" spans="1:4" x14ac:dyDescent="0.35">
      <c r="A51" s="1" t="s">
        <v>434</v>
      </c>
      <c r="B51" t="s">
        <v>89</v>
      </c>
      <c r="C51" s="1">
        <v>2</v>
      </c>
      <c r="D51" s="4">
        <v>2000000</v>
      </c>
    </row>
    <row r="52" spans="1:4" x14ac:dyDescent="0.35">
      <c r="A52" s="1" t="s">
        <v>435</v>
      </c>
      <c r="B52" t="s">
        <v>90</v>
      </c>
      <c r="C52" s="1">
        <v>3</v>
      </c>
      <c r="D52" s="4">
        <v>1500000</v>
      </c>
    </row>
    <row r="53" spans="1:4" x14ac:dyDescent="0.35">
      <c r="A53" s="1" t="s">
        <v>436</v>
      </c>
      <c r="B53" t="s">
        <v>91</v>
      </c>
      <c r="C53" s="1">
        <v>3</v>
      </c>
      <c r="D53" s="4">
        <v>1500000</v>
      </c>
    </row>
    <row r="54" spans="1:4" x14ac:dyDescent="0.35">
      <c r="A54" s="1" t="s">
        <v>437</v>
      </c>
      <c r="B54" t="s">
        <v>92</v>
      </c>
      <c r="C54" s="1">
        <v>1</v>
      </c>
      <c r="D54" s="4">
        <v>999000</v>
      </c>
    </row>
    <row r="55" spans="1:4" x14ac:dyDescent="0.35">
      <c r="A55" s="1" t="s">
        <v>438</v>
      </c>
      <c r="B55" t="s">
        <v>93</v>
      </c>
      <c r="C55" s="1">
        <v>4</v>
      </c>
      <c r="D55" s="4">
        <v>1000000</v>
      </c>
    </row>
    <row r="56" spans="1:4" x14ac:dyDescent="0.35">
      <c r="A56" s="1" t="s">
        <v>439</v>
      </c>
      <c r="B56" t="s">
        <v>94</v>
      </c>
      <c r="C56" s="1">
        <v>2</v>
      </c>
      <c r="D56" s="4">
        <v>2000000</v>
      </c>
    </row>
    <row r="57" spans="1:4" x14ac:dyDescent="0.35">
      <c r="A57" s="1" t="s">
        <v>440</v>
      </c>
      <c r="B57" t="s">
        <v>95</v>
      </c>
      <c r="C57" s="1">
        <v>4</v>
      </c>
      <c r="D57" s="4">
        <v>1000000</v>
      </c>
    </row>
    <row r="58" spans="1:4" x14ac:dyDescent="0.35">
      <c r="A58" s="1" t="s">
        <v>441</v>
      </c>
      <c r="B58" t="s">
        <v>96</v>
      </c>
      <c r="C58" s="1">
        <v>3</v>
      </c>
      <c r="D58" s="4">
        <v>1500000</v>
      </c>
    </row>
    <row r="59" spans="1:4" x14ac:dyDescent="0.35">
      <c r="A59" s="1" t="s">
        <v>442</v>
      </c>
      <c r="B59" t="s">
        <v>97</v>
      </c>
      <c r="C59" s="1">
        <v>4</v>
      </c>
      <c r="D59" s="4">
        <v>1000000</v>
      </c>
    </row>
    <row r="60" spans="1:4" x14ac:dyDescent="0.35">
      <c r="A60" s="1" t="s">
        <v>443</v>
      </c>
      <c r="B60" t="s">
        <v>98</v>
      </c>
      <c r="C60" s="1">
        <v>4</v>
      </c>
      <c r="D60" s="4">
        <v>1000000</v>
      </c>
    </row>
    <row r="61" spans="1:4" x14ac:dyDescent="0.35">
      <c r="A61" s="1" t="s">
        <v>444</v>
      </c>
      <c r="B61" t="s">
        <v>99</v>
      </c>
      <c r="C61" s="1">
        <v>3</v>
      </c>
      <c r="D61" s="4">
        <v>1500000</v>
      </c>
    </row>
    <row r="62" spans="1:4" x14ac:dyDescent="0.35">
      <c r="A62" s="1" t="s">
        <v>445</v>
      </c>
      <c r="B62" t="s">
        <v>100</v>
      </c>
      <c r="C62" s="1">
        <v>4</v>
      </c>
      <c r="D62" s="4">
        <v>1000000</v>
      </c>
    </row>
    <row r="63" spans="1:4" x14ac:dyDescent="0.35">
      <c r="A63" s="1" t="s">
        <v>446</v>
      </c>
      <c r="B63" t="s">
        <v>101</v>
      </c>
      <c r="C63" s="1">
        <v>2</v>
      </c>
      <c r="D63" s="4">
        <v>1997100</v>
      </c>
    </row>
    <row r="64" spans="1:4" x14ac:dyDescent="0.35">
      <c r="A64" s="1" t="s">
        <v>447</v>
      </c>
      <c r="B64" t="s">
        <v>102</v>
      </c>
      <c r="C64" s="1">
        <v>3</v>
      </c>
      <c r="D64" s="4">
        <v>1500000</v>
      </c>
    </row>
    <row r="65" spans="1:4" x14ac:dyDescent="0.35">
      <c r="A65" s="1" t="s">
        <v>448</v>
      </c>
      <c r="B65" t="s">
        <v>103</v>
      </c>
      <c r="C65" s="1">
        <v>4</v>
      </c>
      <c r="D65" s="4">
        <v>1000000</v>
      </c>
    </row>
    <row r="66" spans="1:4" x14ac:dyDescent="0.35">
      <c r="A66" s="1" t="s">
        <v>449</v>
      </c>
      <c r="B66" t="s">
        <v>104</v>
      </c>
      <c r="C66" s="1">
        <v>3</v>
      </c>
      <c r="D66" s="4">
        <v>1500000</v>
      </c>
    </row>
    <row r="67" spans="1:4" x14ac:dyDescent="0.35">
      <c r="A67" s="1" t="s">
        <v>450</v>
      </c>
      <c r="B67" t="s">
        <v>105</v>
      </c>
      <c r="C67" s="1">
        <v>4</v>
      </c>
      <c r="D67" s="4">
        <v>1000000</v>
      </c>
    </row>
    <row r="68" spans="1:4" x14ac:dyDescent="0.35">
      <c r="A68" s="1" t="s">
        <v>451</v>
      </c>
      <c r="B68" t="s">
        <v>106</v>
      </c>
      <c r="C68" s="1">
        <v>4</v>
      </c>
      <c r="D68" s="4">
        <v>1000000</v>
      </c>
    </row>
    <row r="69" spans="1:4" x14ac:dyDescent="0.35">
      <c r="A69" s="1" t="s">
        <v>452</v>
      </c>
      <c r="B69" t="s">
        <v>107</v>
      </c>
      <c r="C69" s="1">
        <v>4</v>
      </c>
      <c r="D69" s="4">
        <v>1000000</v>
      </c>
    </row>
    <row r="70" spans="1:4" x14ac:dyDescent="0.35">
      <c r="A70" s="1" t="s">
        <v>453</v>
      </c>
      <c r="B70" t="s">
        <v>108</v>
      </c>
      <c r="C70" s="1">
        <v>4</v>
      </c>
      <c r="D70" s="4">
        <v>1000000</v>
      </c>
    </row>
    <row r="71" spans="1:4" x14ac:dyDescent="0.35">
      <c r="A71" s="1" t="s">
        <v>454</v>
      </c>
      <c r="B71" t="s">
        <v>109</v>
      </c>
      <c r="C71" s="1">
        <v>4</v>
      </c>
      <c r="D71" s="4">
        <v>1000000</v>
      </c>
    </row>
    <row r="72" spans="1:4" x14ac:dyDescent="0.35">
      <c r="A72" s="1" t="s">
        <v>455</v>
      </c>
      <c r="B72" t="s">
        <v>110</v>
      </c>
      <c r="C72" s="1">
        <v>4</v>
      </c>
      <c r="D72" s="4">
        <v>1000000</v>
      </c>
    </row>
    <row r="73" spans="1:4" x14ac:dyDescent="0.35">
      <c r="A73" s="1" t="s">
        <v>456</v>
      </c>
      <c r="B73" t="s">
        <v>111</v>
      </c>
      <c r="C73" s="1">
        <v>4</v>
      </c>
      <c r="D73" s="4">
        <v>997100</v>
      </c>
    </row>
    <row r="74" spans="1:4" x14ac:dyDescent="0.35">
      <c r="A74" s="1" t="s">
        <v>457</v>
      </c>
      <c r="B74" t="s">
        <v>112</v>
      </c>
      <c r="C74" s="1">
        <v>4</v>
      </c>
      <c r="D74" s="4">
        <v>1000000</v>
      </c>
    </row>
    <row r="75" spans="1:4" x14ac:dyDescent="0.35">
      <c r="A75" s="1" t="s">
        <v>458</v>
      </c>
      <c r="B75" t="s">
        <v>113</v>
      </c>
      <c r="C75" s="1">
        <v>3</v>
      </c>
      <c r="D75" s="4">
        <v>1500000</v>
      </c>
    </row>
    <row r="76" spans="1:4" x14ac:dyDescent="0.35">
      <c r="A76" s="1" t="s">
        <v>459</v>
      </c>
      <c r="B76" t="s">
        <v>114</v>
      </c>
      <c r="C76" s="1">
        <v>3</v>
      </c>
      <c r="D76" s="4">
        <v>1500000</v>
      </c>
    </row>
    <row r="77" spans="1:4" x14ac:dyDescent="0.35">
      <c r="A77" s="1" t="s">
        <v>460</v>
      </c>
      <c r="B77" t="s">
        <v>115</v>
      </c>
      <c r="C77" s="1">
        <v>2</v>
      </c>
      <c r="D77" s="4">
        <v>2000000</v>
      </c>
    </row>
    <row r="78" spans="1:4" x14ac:dyDescent="0.35">
      <c r="A78" s="1" t="s">
        <v>461</v>
      </c>
      <c r="B78" t="s">
        <v>116</v>
      </c>
      <c r="C78" s="1">
        <v>4</v>
      </c>
      <c r="D78" s="4">
        <v>1000000</v>
      </c>
    </row>
    <row r="79" spans="1:4" x14ac:dyDescent="0.35">
      <c r="A79" s="1" t="s">
        <v>462</v>
      </c>
      <c r="B79" t="s">
        <v>117</v>
      </c>
      <c r="C79" s="1">
        <v>2</v>
      </c>
      <c r="D79" s="4">
        <v>2000000</v>
      </c>
    </row>
    <row r="80" spans="1:4" x14ac:dyDescent="0.35">
      <c r="A80" s="1" t="s">
        <v>463</v>
      </c>
      <c r="B80" t="s">
        <v>118</v>
      </c>
      <c r="C80" s="1">
        <v>4</v>
      </c>
      <c r="D80" s="4">
        <v>1000000</v>
      </c>
    </row>
    <row r="81" spans="1:4" x14ac:dyDescent="0.35">
      <c r="A81" s="1" t="s">
        <v>464</v>
      </c>
      <c r="B81" t="s">
        <v>119</v>
      </c>
      <c r="C81" s="1">
        <v>4</v>
      </c>
      <c r="D81" s="4">
        <v>1000000</v>
      </c>
    </row>
    <row r="82" spans="1:4" x14ac:dyDescent="0.35">
      <c r="A82" s="1" t="s">
        <v>465</v>
      </c>
      <c r="B82" t="s">
        <v>120</v>
      </c>
      <c r="C82" s="1">
        <v>4</v>
      </c>
      <c r="D82" s="4">
        <v>1000000</v>
      </c>
    </row>
    <row r="83" spans="1:4" x14ac:dyDescent="0.35">
      <c r="A83" s="1" t="s">
        <v>466</v>
      </c>
      <c r="B83" t="s">
        <v>121</v>
      </c>
      <c r="C83" s="1">
        <v>4</v>
      </c>
      <c r="D83" s="4">
        <v>1000000</v>
      </c>
    </row>
    <row r="84" spans="1:4" x14ac:dyDescent="0.35">
      <c r="A84" s="1" t="s">
        <v>467</v>
      </c>
      <c r="B84" t="s">
        <v>122</v>
      </c>
      <c r="C84" s="1">
        <v>3</v>
      </c>
      <c r="D84" s="4">
        <v>1500000</v>
      </c>
    </row>
    <row r="85" spans="1:4" x14ac:dyDescent="0.35">
      <c r="A85" s="1" t="s">
        <v>468</v>
      </c>
      <c r="B85" t="s">
        <v>123</v>
      </c>
      <c r="C85" s="1">
        <v>4</v>
      </c>
      <c r="D85" s="4">
        <v>1000000</v>
      </c>
    </row>
    <row r="86" spans="1:4" x14ac:dyDescent="0.35">
      <c r="A86" s="1" t="s">
        <v>469</v>
      </c>
      <c r="B86" t="s">
        <v>124</v>
      </c>
      <c r="C86" s="1">
        <v>2</v>
      </c>
      <c r="D86" s="4">
        <v>1997100</v>
      </c>
    </row>
    <row r="87" spans="1:4" x14ac:dyDescent="0.35">
      <c r="A87" s="1" t="s">
        <v>470</v>
      </c>
      <c r="B87" t="s">
        <v>125</v>
      </c>
      <c r="C87" s="1">
        <v>3</v>
      </c>
      <c r="D87" s="4">
        <v>1500000</v>
      </c>
    </row>
    <row r="88" spans="1:4" x14ac:dyDescent="0.35">
      <c r="A88" s="1" t="s">
        <v>471</v>
      </c>
      <c r="B88" t="s">
        <v>126</v>
      </c>
      <c r="C88" s="1">
        <v>4</v>
      </c>
      <c r="D88" s="4">
        <v>1000000</v>
      </c>
    </row>
    <row r="89" spans="1:4" x14ac:dyDescent="0.35">
      <c r="A89" s="1" t="s">
        <v>472</v>
      </c>
      <c r="B89" t="s">
        <v>127</v>
      </c>
      <c r="C89" s="1">
        <v>3</v>
      </c>
      <c r="D89" s="4">
        <v>1497100</v>
      </c>
    </row>
    <row r="90" spans="1:4" x14ac:dyDescent="0.35">
      <c r="A90" s="1" t="s">
        <v>473</v>
      </c>
      <c r="B90" t="s">
        <v>128</v>
      </c>
      <c r="C90" s="1">
        <v>4</v>
      </c>
      <c r="D90" s="4">
        <v>1000000</v>
      </c>
    </row>
    <row r="91" spans="1:4" x14ac:dyDescent="0.35">
      <c r="A91" s="1" t="s">
        <v>474</v>
      </c>
      <c r="B91" t="s">
        <v>129</v>
      </c>
      <c r="C91" s="1">
        <v>4</v>
      </c>
      <c r="D91" s="4">
        <v>1000000</v>
      </c>
    </row>
    <row r="92" spans="1:4" x14ac:dyDescent="0.35">
      <c r="A92" s="1" t="s">
        <v>475</v>
      </c>
      <c r="B92" t="s">
        <v>130</v>
      </c>
      <c r="C92" s="1">
        <v>2</v>
      </c>
      <c r="D92" s="4">
        <v>2000000</v>
      </c>
    </row>
    <row r="93" spans="1:4" x14ac:dyDescent="0.35">
      <c r="A93" s="1" t="s">
        <v>476</v>
      </c>
      <c r="B93" t="s">
        <v>131</v>
      </c>
      <c r="C93" s="1">
        <v>3</v>
      </c>
      <c r="D93" s="4">
        <v>1500000</v>
      </c>
    </row>
    <row r="94" spans="1:4" x14ac:dyDescent="0.35">
      <c r="A94" s="1" t="s">
        <v>477</v>
      </c>
      <c r="B94" t="s">
        <v>132</v>
      </c>
      <c r="C94" s="1">
        <v>3</v>
      </c>
      <c r="D94" s="4">
        <v>1500000</v>
      </c>
    </row>
    <row r="95" spans="1:4" x14ac:dyDescent="0.35">
      <c r="A95" s="1" t="s">
        <v>478</v>
      </c>
      <c r="B95" t="s">
        <v>133</v>
      </c>
      <c r="C95" s="1">
        <v>3</v>
      </c>
      <c r="D95" s="4">
        <v>1500000</v>
      </c>
    </row>
    <row r="96" spans="1:4" x14ac:dyDescent="0.35">
      <c r="A96" s="1" t="s">
        <v>479</v>
      </c>
      <c r="B96" t="s">
        <v>134</v>
      </c>
      <c r="C96" s="1">
        <v>3</v>
      </c>
      <c r="D96" s="4">
        <v>1500000</v>
      </c>
    </row>
    <row r="97" spans="1:4" x14ac:dyDescent="0.35">
      <c r="A97" s="1" t="s">
        <v>480</v>
      </c>
      <c r="B97" t="s">
        <v>135</v>
      </c>
      <c r="C97" s="1">
        <v>4</v>
      </c>
      <c r="D97" s="4">
        <v>1000000</v>
      </c>
    </row>
    <row r="98" spans="1:4" x14ac:dyDescent="0.35">
      <c r="A98" s="1" t="s">
        <v>481</v>
      </c>
      <c r="B98" t="s">
        <v>136</v>
      </c>
      <c r="C98" s="1">
        <v>4</v>
      </c>
      <c r="D98" s="4">
        <v>1000000</v>
      </c>
    </row>
    <row r="99" spans="1:4" x14ac:dyDescent="0.35">
      <c r="A99" s="1" t="s">
        <v>482</v>
      </c>
      <c r="B99" t="s">
        <v>137</v>
      </c>
      <c r="C99" s="1">
        <v>3</v>
      </c>
      <c r="D99" s="4">
        <v>1500000</v>
      </c>
    </row>
    <row r="100" spans="1:4" x14ac:dyDescent="0.35">
      <c r="A100" s="1" t="s">
        <v>483</v>
      </c>
      <c r="B100" t="s">
        <v>138</v>
      </c>
      <c r="C100" s="1">
        <v>4</v>
      </c>
      <c r="D100" s="4">
        <v>1000000</v>
      </c>
    </row>
    <row r="101" spans="1:4" x14ac:dyDescent="0.35">
      <c r="A101" s="1" t="s">
        <v>484</v>
      </c>
      <c r="B101" t="s">
        <v>139</v>
      </c>
      <c r="C101" s="1">
        <v>3</v>
      </c>
      <c r="D101" s="4">
        <v>1497100</v>
      </c>
    </row>
    <row r="102" spans="1:4" x14ac:dyDescent="0.35">
      <c r="A102" s="1" t="s">
        <v>485</v>
      </c>
      <c r="B102" t="s">
        <v>140</v>
      </c>
      <c r="C102" s="1">
        <v>3</v>
      </c>
      <c r="D102" s="4">
        <v>1500000</v>
      </c>
    </row>
    <row r="103" spans="1:4" x14ac:dyDescent="0.35">
      <c r="A103" s="1" t="s">
        <v>486</v>
      </c>
      <c r="B103" t="s">
        <v>141</v>
      </c>
      <c r="C103" s="1">
        <v>4</v>
      </c>
      <c r="D103" s="4">
        <v>1000000</v>
      </c>
    </row>
    <row r="104" spans="1:4" x14ac:dyDescent="0.35">
      <c r="A104" s="1" t="s">
        <v>487</v>
      </c>
      <c r="B104" t="s">
        <v>142</v>
      </c>
      <c r="C104" s="1">
        <v>3</v>
      </c>
      <c r="D104" s="4">
        <v>1500000</v>
      </c>
    </row>
    <row r="105" spans="1:4" x14ac:dyDescent="0.35">
      <c r="A105" s="1" t="s">
        <v>488</v>
      </c>
      <c r="B105" t="s">
        <v>143</v>
      </c>
      <c r="C105" s="1">
        <v>4</v>
      </c>
      <c r="D105" s="4">
        <v>1000000</v>
      </c>
    </row>
    <row r="106" spans="1:4" x14ac:dyDescent="0.35">
      <c r="A106" s="1" t="s">
        <v>489</v>
      </c>
      <c r="B106" t="s">
        <v>144</v>
      </c>
      <c r="C106" s="1">
        <v>3</v>
      </c>
      <c r="D106" s="4">
        <v>1500000</v>
      </c>
    </row>
    <row r="107" spans="1:4" x14ac:dyDescent="0.35">
      <c r="A107" s="1" t="s">
        <v>490</v>
      </c>
      <c r="B107" t="s">
        <v>145</v>
      </c>
      <c r="C107" s="1">
        <v>3</v>
      </c>
      <c r="D107" s="4">
        <v>1500000</v>
      </c>
    </row>
    <row r="108" spans="1:4" x14ac:dyDescent="0.35">
      <c r="A108" s="1" t="s">
        <v>491</v>
      </c>
      <c r="B108" t="s">
        <v>146</v>
      </c>
      <c r="C108" s="1">
        <v>3</v>
      </c>
      <c r="D108" s="4">
        <v>1502900</v>
      </c>
    </row>
    <row r="109" spans="1:4" x14ac:dyDescent="0.35">
      <c r="A109" s="1" t="s">
        <v>492</v>
      </c>
      <c r="B109" t="s">
        <v>147</v>
      </c>
      <c r="C109" s="1">
        <v>4</v>
      </c>
      <c r="D109" s="4">
        <v>1000000</v>
      </c>
    </row>
    <row r="110" spans="1:4" x14ac:dyDescent="0.35">
      <c r="A110" s="1" t="s">
        <v>493</v>
      </c>
      <c r="B110" t="s">
        <v>148</v>
      </c>
      <c r="C110" s="1">
        <v>4</v>
      </c>
      <c r="D110" s="4">
        <v>1000000</v>
      </c>
    </row>
    <row r="111" spans="1:4" x14ac:dyDescent="0.35">
      <c r="A111" s="1" t="s">
        <v>494</v>
      </c>
      <c r="B111" t="s">
        <v>149</v>
      </c>
      <c r="C111" s="1">
        <v>4</v>
      </c>
      <c r="D111" s="4">
        <v>1000000</v>
      </c>
    </row>
    <row r="112" spans="1:4" x14ac:dyDescent="0.35">
      <c r="A112" s="1" t="s">
        <v>495</v>
      </c>
      <c r="B112" t="s">
        <v>150</v>
      </c>
      <c r="C112" s="1">
        <v>4</v>
      </c>
      <c r="D112" s="4">
        <v>1000000</v>
      </c>
    </row>
    <row r="113" spans="1:4" x14ac:dyDescent="0.35">
      <c r="A113" s="1" t="s">
        <v>496</v>
      </c>
      <c r="B113" t="s">
        <v>151</v>
      </c>
      <c r="C113" s="1">
        <v>3</v>
      </c>
      <c r="D113" s="4">
        <v>1497100</v>
      </c>
    </row>
    <row r="114" spans="1:4" x14ac:dyDescent="0.35">
      <c r="A114" s="1" t="s">
        <v>497</v>
      </c>
      <c r="B114" t="s">
        <v>152</v>
      </c>
      <c r="C114" s="1">
        <v>3</v>
      </c>
      <c r="D114" s="4">
        <v>1500000</v>
      </c>
    </row>
    <row r="115" spans="1:4" x14ac:dyDescent="0.35">
      <c r="A115" s="1" t="s">
        <v>498</v>
      </c>
      <c r="B115" t="s">
        <v>153</v>
      </c>
      <c r="C115" s="1">
        <v>3</v>
      </c>
      <c r="D115" s="4">
        <v>1500000</v>
      </c>
    </row>
    <row r="116" spans="1:4" x14ac:dyDescent="0.35">
      <c r="A116" s="1" t="s">
        <v>499</v>
      </c>
      <c r="B116" t="s">
        <v>154</v>
      </c>
      <c r="C116" s="1">
        <v>2</v>
      </c>
      <c r="D116" s="4">
        <v>1997100</v>
      </c>
    </row>
    <row r="117" spans="1:4" x14ac:dyDescent="0.35">
      <c r="A117" s="1" t="s">
        <v>500</v>
      </c>
      <c r="B117" t="s">
        <v>155</v>
      </c>
      <c r="C117" s="1">
        <v>3</v>
      </c>
      <c r="D117" s="4">
        <v>1500000</v>
      </c>
    </row>
    <row r="118" spans="1:4" x14ac:dyDescent="0.35">
      <c r="A118" s="1" t="s">
        <v>501</v>
      </c>
      <c r="B118" t="s">
        <v>156</v>
      </c>
      <c r="C118" s="1">
        <v>3</v>
      </c>
      <c r="D118" s="4">
        <v>1497100</v>
      </c>
    </row>
    <row r="119" spans="1:4" x14ac:dyDescent="0.35">
      <c r="A119" s="1" t="s">
        <v>502</v>
      </c>
      <c r="B119" t="s">
        <v>157</v>
      </c>
      <c r="C119" s="1">
        <v>4</v>
      </c>
      <c r="D119" s="4">
        <v>1000000</v>
      </c>
    </row>
    <row r="120" spans="1:4" x14ac:dyDescent="0.35">
      <c r="A120" s="1" t="s">
        <v>503</v>
      </c>
      <c r="B120" t="s">
        <v>158</v>
      </c>
      <c r="C120" s="1">
        <v>4</v>
      </c>
      <c r="D120" s="4">
        <v>1000000</v>
      </c>
    </row>
    <row r="121" spans="1:4" x14ac:dyDescent="0.35">
      <c r="A121" s="1" t="s">
        <v>504</v>
      </c>
      <c r="B121" t="s">
        <v>159</v>
      </c>
      <c r="C121" s="1">
        <v>3</v>
      </c>
      <c r="D121" s="4">
        <v>1500000</v>
      </c>
    </row>
    <row r="122" spans="1:4" x14ac:dyDescent="0.35">
      <c r="A122" s="1" t="s">
        <v>505</v>
      </c>
      <c r="B122" t="s">
        <v>160</v>
      </c>
      <c r="C122" s="1">
        <v>3</v>
      </c>
      <c r="D122" s="4">
        <v>1500000</v>
      </c>
    </row>
    <row r="123" spans="1:4" x14ac:dyDescent="0.35">
      <c r="A123" s="1" t="s">
        <v>506</v>
      </c>
      <c r="B123" t="s">
        <v>161</v>
      </c>
      <c r="C123" s="1">
        <v>3</v>
      </c>
      <c r="D123" s="4">
        <v>1500000</v>
      </c>
    </row>
    <row r="124" spans="1:4" x14ac:dyDescent="0.35">
      <c r="A124" s="1" t="s">
        <v>507</v>
      </c>
      <c r="B124" t="s">
        <v>162</v>
      </c>
      <c r="C124" s="1">
        <v>4</v>
      </c>
      <c r="D124" s="4">
        <v>500000</v>
      </c>
    </row>
    <row r="125" spans="1:4" x14ac:dyDescent="0.35">
      <c r="A125" s="1" t="s">
        <v>508</v>
      </c>
      <c r="B125" t="s">
        <v>163</v>
      </c>
      <c r="C125" s="1">
        <v>4</v>
      </c>
      <c r="D125" s="4">
        <v>1000000</v>
      </c>
    </row>
    <row r="126" spans="1:4" x14ac:dyDescent="0.35">
      <c r="A126" s="1" t="s">
        <v>509</v>
      </c>
      <c r="B126" t="s">
        <v>164</v>
      </c>
      <c r="C126" s="1">
        <v>4</v>
      </c>
      <c r="D126" s="4">
        <v>1000000</v>
      </c>
    </row>
    <row r="127" spans="1:4" x14ac:dyDescent="0.35">
      <c r="A127" s="1" t="s">
        <v>510</v>
      </c>
      <c r="B127" t="s">
        <v>165</v>
      </c>
      <c r="C127" s="1">
        <v>3</v>
      </c>
      <c r="D127" s="4">
        <v>1502900</v>
      </c>
    </row>
    <row r="128" spans="1:4" x14ac:dyDescent="0.35">
      <c r="A128" s="1" t="s">
        <v>511</v>
      </c>
      <c r="B128" t="s">
        <v>166</v>
      </c>
      <c r="C128" s="1">
        <v>4</v>
      </c>
      <c r="D128" s="4">
        <v>1000000</v>
      </c>
    </row>
    <row r="129" spans="1:4" x14ac:dyDescent="0.35">
      <c r="A129" s="1" t="s">
        <v>512</v>
      </c>
      <c r="B129" t="s">
        <v>167</v>
      </c>
      <c r="C129" s="1">
        <v>4</v>
      </c>
      <c r="D129" s="4">
        <v>1000000</v>
      </c>
    </row>
    <row r="130" spans="1:4" x14ac:dyDescent="0.35">
      <c r="A130" s="1" t="s">
        <v>513</v>
      </c>
      <c r="B130" t="s">
        <v>168</v>
      </c>
      <c r="C130" s="1">
        <v>3</v>
      </c>
      <c r="D130" s="4">
        <v>1500000</v>
      </c>
    </row>
    <row r="131" spans="1:4" x14ac:dyDescent="0.35">
      <c r="A131" s="1" t="s">
        <v>514</v>
      </c>
      <c r="B131" t="s">
        <v>169</v>
      </c>
      <c r="C131" s="1">
        <v>3</v>
      </c>
      <c r="D131" s="4">
        <v>1500000</v>
      </c>
    </row>
    <row r="132" spans="1:4" x14ac:dyDescent="0.35">
      <c r="A132" s="1" t="s">
        <v>515</v>
      </c>
      <c r="B132" t="s">
        <v>170</v>
      </c>
      <c r="C132" s="1">
        <v>4</v>
      </c>
      <c r="D132" s="4">
        <v>1000000</v>
      </c>
    </row>
    <row r="133" spans="1:4" x14ac:dyDescent="0.35">
      <c r="A133" s="1" t="s">
        <v>516</v>
      </c>
      <c r="B133" t="s">
        <v>171</v>
      </c>
      <c r="C133" s="1">
        <v>3</v>
      </c>
      <c r="D133" s="4">
        <v>1500000</v>
      </c>
    </row>
    <row r="134" spans="1:4" x14ac:dyDescent="0.35">
      <c r="A134" s="1" t="s">
        <v>517</v>
      </c>
      <c r="B134" t="s">
        <v>172</v>
      </c>
      <c r="C134" s="1">
        <v>3</v>
      </c>
      <c r="D134" s="4">
        <v>1500000</v>
      </c>
    </row>
    <row r="135" spans="1:4" x14ac:dyDescent="0.35">
      <c r="A135" s="1" t="s">
        <v>518</v>
      </c>
      <c r="B135" t="s">
        <v>173</v>
      </c>
      <c r="C135" s="1">
        <v>3</v>
      </c>
      <c r="D135" s="4">
        <v>1500000</v>
      </c>
    </row>
    <row r="136" spans="1:4" x14ac:dyDescent="0.35">
      <c r="A136" s="1" t="s">
        <v>519</v>
      </c>
      <c r="B136" t="s">
        <v>174</v>
      </c>
      <c r="C136" s="1">
        <v>4</v>
      </c>
      <c r="D136" s="4">
        <v>1000000</v>
      </c>
    </row>
    <row r="137" spans="1:4" x14ac:dyDescent="0.35">
      <c r="A137" s="1" t="s">
        <v>520</v>
      </c>
      <c r="B137" t="s">
        <v>175</v>
      </c>
      <c r="C137" s="1">
        <v>4</v>
      </c>
      <c r="D137" s="4">
        <v>1000000</v>
      </c>
    </row>
    <row r="138" spans="1:4" x14ac:dyDescent="0.35">
      <c r="A138" s="1" t="s">
        <v>521</v>
      </c>
      <c r="B138" t="s">
        <v>176</v>
      </c>
      <c r="C138" s="1">
        <v>4</v>
      </c>
      <c r="D138" s="4">
        <v>1000000</v>
      </c>
    </row>
    <row r="139" spans="1:4" x14ac:dyDescent="0.35">
      <c r="A139" s="1" t="s">
        <v>522</v>
      </c>
      <c r="B139" t="s">
        <v>177</v>
      </c>
      <c r="C139" s="1">
        <v>2</v>
      </c>
      <c r="D139" s="4">
        <v>2000000</v>
      </c>
    </row>
    <row r="140" spans="1:4" x14ac:dyDescent="0.35">
      <c r="A140" s="1" t="s">
        <v>523</v>
      </c>
      <c r="B140" t="s">
        <v>178</v>
      </c>
      <c r="C140" s="1">
        <v>2</v>
      </c>
      <c r="D140" s="4">
        <v>2000000</v>
      </c>
    </row>
    <row r="141" spans="1:4" x14ac:dyDescent="0.35">
      <c r="A141" s="1" t="s">
        <v>524</v>
      </c>
      <c r="B141" t="s">
        <v>179</v>
      </c>
      <c r="C141" s="1">
        <v>4</v>
      </c>
      <c r="D141" s="4">
        <v>1000000</v>
      </c>
    </row>
    <row r="142" spans="1:4" x14ac:dyDescent="0.35">
      <c r="A142" s="1" t="s">
        <v>525</v>
      </c>
      <c r="B142" t="s">
        <v>180</v>
      </c>
      <c r="C142" s="1">
        <v>3</v>
      </c>
      <c r="D142" s="4">
        <v>1500000</v>
      </c>
    </row>
    <row r="143" spans="1:4" x14ac:dyDescent="0.35">
      <c r="A143" s="1" t="s">
        <v>526</v>
      </c>
      <c r="B143" t="s">
        <v>181</v>
      </c>
      <c r="C143" s="1">
        <v>3</v>
      </c>
      <c r="D143" s="4">
        <v>1500000</v>
      </c>
    </row>
    <row r="144" spans="1:4" x14ac:dyDescent="0.35">
      <c r="A144" s="1" t="s">
        <v>527</v>
      </c>
      <c r="B144" t="s">
        <v>182</v>
      </c>
      <c r="C144" s="1">
        <v>3</v>
      </c>
      <c r="D144" s="4">
        <v>1500000</v>
      </c>
    </row>
    <row r="145" spans="1:4" x14ac:dyDescent="0.35">
      <c r="A145" s="1" t="s">
        <v>528</v>
      </c>
      <c r="B145" t="s">
        <v>183</v>
      </c>
      <c r="C145" s="1">
        <v>2</v>
      </c>
      <c r="D145" s="4">
        <v>2000000</v>
      </c>
    </row>
    <row r="146" spans="1:4" x14ac:dyDescent="0.35">
      <c r="A146" s="1" t="s">
        <v>529</v>
      </c>
      <c r="B146" t="s">
        <v>184</v>
      </c>
      <c r="C146" s="1">
        <v>4</v>
      </c>
      <c r="D146" s="4">
        <v>1000000</v>
      </c>
    </row>
    <row r="147" spans="1:4" x14ac:dyDescent="0.35">
      <c r="A147" s="1" t="s">
        <v>530</v>
      </c>
      <c r="B147" t="s">
        <v>185</v>
      </c>
      <c r="C147" s="1">
        <v>4</v>
      </c>
      <c r="D147" s="4">
        <v>1000000</v>
      </c>
    </row>
    <row r="148" spans="1:4" x14ac:dyDescent="0.35">
      <c r="A148" s="1" t="s">
        <v>531</v>
      </c>
      <c r="B148" t="s">
        <v>186</v>
      </c>
      <c r="C148" s="1">
        <v>3</v>
      </c>
      <c r="D148" s="4">
        <v>1500000</v>
      </c>
    </row>
    <row r="149" spans="1:4" x14ac:dyDescent="0.35">
      <c r="A149" s="1" t="s">
        <v>532</v>
      </c>
      <c r="B149" t="s">
        <v>187</v>
      </c>
      <c r="C149" s="1">
        <v>4</v>
      </c>
      <c r="D149" s="4">
        <v>1000000</v>
      </c>
    </row>
    <row r="150" spans="1:4" x14ac:dyDescent="0.35">
      <c r="A150" s="1" t="s">
        <v>533</v>
      </c>
      <c r="B150" t="s">
        <v>188</v>
      </c>
      <c r="C150" s="1">
        <v>4</v>
      </c>
      <c r="D150" s="4">
        <v>1000000</v>
      </c>
    </row>
    <row r="151" spans="1:4" x14ac:dyDescent="0.35">
      <c r="A151" s="1" t="s">
        <v>534</v>
      </c>
      <c r="B151" t="s">
        <v>189</v>
      </c>
      <c r="C151" s="1">
        <v>3</v>
      </c>
      <c r="D151" s="4">
        <v>1500000</v>
      </c>
    </row>
    <row r="152" spans="1:4" x14ac:dyDescent="0.35">
      <c r="A152" s="1" t="s">
        <v>535</v>
      </c>
      <c r="B152" t="s">
        <v>190</v>
      </c>
      <c r="C152" s="1">
        <v>4</v>
      </c>
      <c r="D152" s="4">
        <v>1000000</v>
      </c>
    </row>
    <row r="153" spans="1:4" x14ac:dyDescent="0.35">
      <c r="A153" s="1" t="s">
        <v>536</v>
      </c>
      <c r="B153" t="s">
        <v>191</v>
      </c>
      <c r="C153" s="1">
        <v>3</v>
      </c>
      <c r="D153" s="4">
        <v>1500000</v>
      </c>
    </row>
    <row r="154" spans="1:4" x14ac:dyDescent="0.35">
      <c r="A154" s="1" t="s">
        <v>537</v>
      </c>
      <c r="B154" t="s">
        <v>192</v>
      </c>
      <c r="C154" s="1">
        <v>2</v>
      </c>
      <c r="D154" s="4">
        <v>1997100</v>
      </c>
    </row>
    <row r="155" spans="1:4" x14ac:dyDescent="0.35">
      <c r="A155" s="1" t="s">
        <v>538</v>
      </c>
      <c r="B155" t="s">
        <v>193</v>
      </c>
      <c r="C155" s="1">
        <v>3</v>
      </c>
      <c r="D155" s="4">
        <v>1500000</v>
      </c>
    </row>
    <row r="156" spans="1:4" x14ac:dyDescent="0.35">
      <c r="A156" s="1" t="s">
        <v>539</v>
      </c>
      <c r="B156" t="s">
        <v>194</v>
      </c>
      <c r="C156" s="1">
        <v>4</v>
      </c>
      <c r="D156" s="4">
        <v>1000000</v>
      </c>
    </row>
    <row r="157" spans="1:4" x14ac:dyDescent="0.35">
      <c r="A157" s="1" t="s">
        <v>540</v>
      </c>
      <c r="B157" t="s">
        <v>195</v>
      </c>
      <c r="C157" s="1">
        <v>3</v>
      </c>
      <c r="D157" s="4">
        <v>1500000</v>
      </c>
    </row>
    <row r="158" spans="1:4" x14ac:dyDescent="0.35">
      <c r="A158" s="1" t="s">
        <v>541</v>
      </c>
      <c r="B158" t="s">
        <v>196</v>
      </c>
      <c r="C158" s="1">
        <v>4</v>
      </c>
      <c r="D158" s="4">
        <v>1000000</v>
      </c>
    </row>
    <row r="159" spans="1:4" x14ac:dyDescent="0.35">
      <c r="A159" s="1" t="s">
        <v>542</v>
      </c>
      <c r="B159" t="s">
        <v>197</v>
      </c>
      <c r="C159" s="1">
        <v>3</v>
      </c>
      <c r="D159" s="4">
        <v>1500000</v>
      </c>
    </row>
    <row r="160" spans="1:4" x14ac:dyDescent="0.35">
      <c r="A160" s="1" t="s">
        <v>543</v>
      </c>
      <c r="B160" t="s">
        <v>198</v>
      </c>
      <c r="C160" s="1">
        <v>4</v>
      </c>
      <c r="D160" s="4">
        <v>1000000</v>
      </c>
    </row>
    <row r="161" spans="1:4" x14ac:dyDescent="0.35">
      <c r="A161" s="1" t="s">
        <v>544</v>
      </c>
      <c r="B161" t="s">
        <v>199</v>
      </c>
      <c r="C161" s="1">
        <v>4</v>
      </c>
      <c r="D161" s="4">
        <v>1000000</v>
      </c>
    </row>
    <row r="162" spans="1:4" x14ac:dyDescent="0.35">
      <c r="A162" s="1" t="s">
        <v>545</v>
      </c>
      <c r="B162" t="s">
        <v>200</v>
      </c>
      <c r="C162" s="1">
        <v>3</v>
      </c>
      <c r="D162" s="4">
        <v>1500000</v>
      </c>
    </row>
    <row r="163" spans="1:4" x14ac:dyDescent="0.35">
      <c r="A163" s="1" t="s">
        <v>546</v>
      </c>
      <c r="B163" t="s">
        <v>201</v>
      </c>
      <c r="C163" s="1">
        <v>4</v>
      </c>
      <c r="D163" s="4">
        <v>1000000</v>
      </c>
    </row>
    <row r="164" spans="1:4" x14ac:dyDescent="0.35">
      <c r="A164" s="1" t="s">
        <v>547</v>
      </c>
      <c r="B164" t="s">
        <v>202</v>
      </c>
      <c r="C164" s="1">
        <v>3</v>
      </c>
      <c r="D164" s="4">
        <v>1500000</v>
      </c>
    </row>
    <row r="165" spans="1:4" x14ac:dyDescent="0.35">
      <c r="A165" s="1" t="s">
        <v>548</v>
      </c>
      <c r="B165" t="s">
        <v>203</v>
      </c>
      <c r="C165" s="1">
        <v>4</v>
      </c>
      <c r="D165" s="4">
        <v>1000000</v>
      </c>
    </row>
    <row r="166" spans="1:4" x14ac:dyDescent="0.35">
      <c r="A166" s="1" t="s">
        <v>549</v>
      </c>
      <c r="B166" t="s">
        <v>204</v>
      </c>
      <c r="C166" s="1">
        <v>4</v>
      </c>
      <c r="D166" s="4">
        <v>1000000</v>
      </c>
    </row>
    <row r="167" spans="1:4" x14ac:dyDescent="0.35">
      <c r="A167" s="1" t="s">
        <v>550</v>
      </c>
      <c r="B167" t="s">
        <v>205</v>
      </c>
      <c r="C167" s="1">
        <v>3</v>
      </c>
      <c r="D167" s="4">
        <v>1497100</v>
      </c>
    </row>
    <row r="168" spans="1:4" x14ac:dyDescent="0.35">
      <c r="A168" s="1" t="s">
        <v>551</v>
      </c>
      <c r="B168" t="s">
        <v>206</v>
      </c>
      <c r="C168" s="1">
        <v>4</v>
      </c>
      <c r="D168" s="4">
        <v>997100</v>
      </c>
    </row>
    <row r="169" spans="1:4" x14ac:dyDescent="0.35">
      <c r="A169" s="1" t="s">
        <v>552</v>
      </c>
      <c r="B169" t="s">
        <v>207</v>
      </c>
      <c r="C169" s="1">
        <v>4</v>
      </c>
      <c r="D169" s="4">
        <v>1000000</v>
      </c>
    </row>
    <row r="170" spans="1:4" x14ac:dyDescent="0.35">
      <c r="A170" s="1" t="s">
        <v>553</v>
      </c>
      <c r="B170" t="s">
        <v>208</v>
      </c>
      <c r="C170" s="1">
        <v>3</v>
      </c>
      <c r="D170" s="4">
        <v>1500000</v>
      </c>
    </row>
    <row r="171" spans="1:4" x14ac:dyDescent="0.35">
      <c r="A171" s="1" t="s">
        <v>554</v>
      </c>
      <c r="B171" t="s">
        <v>209</v>
      </c>
      <c r="C171" s="1">
        <v>1</v>
      </c>
      <c r="D171" s="4">
        <v>3000000</v>
      </c>
    </row>
    <row r="172" spans="1:4" x14ac:dyDescent="0.35">
      <c r="A172" s="1" t="s">
        <v>555</v>
      </c>
      <c r="B172" t="s">
        <v>210</v>
      </c>
      <c r="C172" s="1">
        <v>3</v>
      </c>
      <c r="D172" s="4">
        <v>1500000</v>
      </c>
    </row>
    <row r="173" spans="1:4" x14ac:dyDescent="0.35">
      <c r="A173" s="1" t="s">
        <v>556</v>
      </c>
      <c r="B173" t="s">
        <v>211</v>
      </c>
      <c r="C173" s="1">
        <v>3</v>
      </c>
      <c r="D173" s="4">
        <v>1500000</v>
      </c>
    </row>
    <row r="174" spans="1:4" x14ac:dyDescent="0.35">
      <c r="A174" s="1" t="s">
        <v>557</v>
      </c>
      <c r="B174" t="s">
        <v>212</v>
      </c>
      <c r="C174" s="1">
        <v>4</v>
      </c>
      <c r="D174" s="4">
        <v>1000000</v>
      </c>
    </row>
    <row r="175" spans="1:4" x14ac:dyDescent="0.35">
      <c r="A175" s="1" t="s">
        <v>558</v>
      </c>
      <c r="B175" t="s">
        <v>213</v>
      </c>
      <c r="C175" s="1">
        <v>4</v>
      </c>
      <c r="D175" s="4">
        <v>1000000</v>
      </c>
    </row>
    <row r="176" spans="1:4" x14ac:dyDescent="0.35">
      <c r="A176" s="1" t="s">
        <v>559</v>
      </c>
      <c r="B176" t="s">
        <v>214</v>
      </c>
      <c r="C176" s="1">
        <v>4</v>
      </c>
      <c r="D176" s="4">
        <v>1000000</v>
      </c>
    </row>
    <row r="177" spans="1:4" x14ac:dyDescent="0.35">
      <c r="A177" s="1" t="s">
        <v>560</v>
      </c>
      <c r="B177" t="s">
        <v>215</v>
      </c>
      <c r="C177" s="1">
        <v>4</v>
      </c>
      <c r="D177" s="4">
        <v>1000000</v>
      </c>
    </row>
    <row r="178" spans="1:4" x14ac:dyDescent="0.35">
      <c r="A178" s="1" t="s">
        <v>561</v>
      </c>
      <c r="B178" t="s">
        <v>216</v>
      </c>
      <c r="C178" s="1">
        <v>4</v>
      </c>
      <c r="D178" s="4">
        <v>1000000</v>
      </c>
    </row>
    <row r="179" spans="1:4" x14ac:dyDescent="0.35">
      <c r="A179" s="1" t="s">
        <v>562</v>
      </c>
      <c r="B179" t="s">
        <v>217</v>
      </c>
      <c r="C179" s="1">
        <v>4</v>
      </c>
      <c r="D179" s="4">
        <v>1000000</v>
      </c>
    </row>
    <row r="180" spans="1:4" x14ac:dyDescent="0.35">
      <c r="A180" s="1" t="s">
        <v>563</v>
      </c>
      <c r="B180" t="s">
        <v>218</v>
      </c>
      <c r="C180" s="1">
        <v>3</v>
      </c>
      <c r="D180" s="4">
        <v>1500000</v>
      </c>
    </row>
    <row r="181" spans="1:4" x14ac:dyDescent="0.35">
      <c r="A181" s="1" t="s">
        <v>564</v>
      </c>
      <c r="B181" t="s">
        <v>219</v>
      </c>
      <c r="C181" s="1">
        <v>4</v>
      </c>
      <c r="D181" s="4">
        <v>1000000</v>
      </c>
    </row>
    <row r="182" spans="1:4" x14ac:dyDescent="0.35">
      <c r="A182" s="1" t="s">
        <v>565</v>
      </c>
      <c r="B182" t="s">
        <v>220</v>
      </c>
      <c r="C182" s="1">
        <v>3</v>
      </c>
      <c r="D182" s="4">
        <v>1500000</v>
      </c>
    </row>
    <row r="183" spans="1:4" x14ac:dyDescent="0.35">
      <c r="A183" s="1" t="s">
        <v>566</v>
      </c>
      <c r="B183" t="s">
        <v>221</v>
      </c>
      <c r="C183" s="1">
        <v>3</v>
      </c>
      <c r="D183" s="4">
        <v>1500000</v>
      </c>
    </row>
    <row r="184" spans="1:4" x14ac:dyDescent="0.35">
      <c r="A184" s="1" t="s">
        <v>567</v>
      </c>
      <c r="B184" t="s">
        <v>222</v>
      </c>
      <c r="C184" s="1">
        <v>3</v>
      </c>
      <c r="D184" s="4">
        <v>1500000</v>
      </c>
    </row>
    <row r="185" spans="1:4" x14ac:dyDescent="0.35">
      <c r="A185" s="1" t="s">
        <v>568</v>
      </c>
      <c r="B185" t="s">
        <v>223</v>
      </c>
      <c r="C185" s="1">
        <v>2</v>
      </c>
      <c r="D185" s="4">
        <v>2000000</v>
      </c>
    </row>
    <row r="186" spans="1:4" x14ac:dyDescent="0.35">
      <c r="A186" s="1" t="s">
        <v>569</v>
      </c>
      <c r="B186" t="s">
        <v>224</v>
      </c>
      <c r="C186" s="1">
        <v>4</v>
      </c>
      <c r="D186" s="4">
        <v>1000000</v>
      </c>
    </row>
    <row r="187" spans="1:4" x14ac:dyDescent="0.35">
      <c r="A187" s="1" t="s">
        <v>570</v>
      </c>
      <c r="B187" t="s">
        <v>225</v>
      </c>
      <c r="C187" s="1">
        <v>4</v>
      </c>
      <c r="D187" s="4">
        <v>1000000</v>
      </c>
    </row>
    <row r="188" spans="1:4" x14ac:dyDescent="0.35">
      <c r="A188" s="1" t="s">
        <v>571</v>
      </c>
      <c r="B188" t="s">
        <v>226</v>
      </c>
      <c r="C188" s="1">
        <v>3</v>
      </c>
      <c r="D188" s="4">
        <v>1500000</v>
      </c>
    </row>
    <row r="189" spans="1:4" x14ac:dyDescent="0.35">
      <c r="A189" s="1" t="s">
        <v>572</v>
      </c>
      <c r="B189" t="s">
        <v>227</v>
      </c>
      <c r="C189" s="1">
        <v>3</v>
      </c>
      <c r="D189" s="4">
        <v>1500000</v>
      </c>
    </row>
    <row r="190" spans="1:4" x14ac:dyDescent="0.35">
      <c r="A190" s="1" t="s">
        <v>573</v>
      </c>
      <c r="B190" t="s">
        <v>228</v>
      </c>
      <c r="C190" s="1">
        <v>3</v>
      </c>
      <c r="D190" s="4">
        <v>1500000</v>
      </c>
    </row>
    <row r="191" spans="1:4" x14ac:dyDescent="0.35">
      <c r="A191" s="1" t="s">
        <v>574</v>
      </c>
      <c r="B191" t="s">
        <v>229</v>
      </c>
      <c r="C191" s="1">
        <v>4</v>
      </c>
      <c r="D191" s="4">
        <v>1000000</v>
      </c>
    </row>
    <row r="192" spans="1:4" x14ac:dyDescent="0.35">
      <c r="A192" s="1" t="s">
        <v>575</v>
      </c>
      <c r="B192" t="s">
        <v>230</v>
      </c>
      <c r="C192" s="1">
        <v>3</v>
      </c>
      <c r="D192" s="4">
        <v>1500000</v>
      </c>
    </row>
    <row r="193" spans="1:4" x14ac:dyDescent="0.35">
      <c r="A193" s="1" t="s">
        <v>576</v>
      </c>
      <c r="B193" t="s">
        <v>231</v>
      </c>
      <c r="C193" s="1">
        <v>3</v>
      </c>
      <c r="D193" s="4">
        <v>1500000</v>
      </c>
    </row>
    <row r="194" spans="1:4" x14ac:dyDescent="0.35">
      <c r="A194" s="1" t="s">
        <v>577</v>
      </c>
      <c r="B194" t="s">
        <v>232</v>
      </c>
      <c r="C194" s="1">
        <v>4</v>
      </c>
      <c r="D194" s="4">
        <v>997100</v>
      </c>
    </row>
    <row r="195" spans="1:4" x14ac:dyDescent="0.35">
      <c r="A195" s="1" t="s">
        <v>578</v>
      </c>
      <c r="B195" t="s">
        <v>233</v>
      </c>
      <c r="C195" s="1">
        <v>2</v>
      </c>
      <c r="D195" s="4">
        <v>2000000</v>
      </c>
    </row>
    <row r="196" spans="1:4" x14ac:dyDescent="0.35">
      <c r="A196" s="1" t="s">
        <v>579</v>
      </c>
      <c r="B196" t="s">
        <v>234</v>
      </c>
      <c r="C196" s="1">
        <v>4</v>
      </c>
      <c r="D196" s="4">
        <v>1000000</v>
      </c>
    </row>
    <row r="197" spans="1:4" x14ac:dyDescent="0.35">
      <c r="A197" s="1" t="s">
        <v>580</v>
      </c>
      <c r="B197" t="s">
        <v>235</v>
      </c>
      <c r="C197" s="1">
        <v>4</v>
      </c>
      <c r="D197" s="4">
        <v>1000000</v>
      </c>
    </row>
    <row r="198" spans="1:4" x14ac:dyDescent="0.35">
      <c r="A198" s="1" t="s">
        <v>581</v>
      </c>
      <c r="B198" t="s">
        <v>236</v>
      </c>
      <c r="C198" s="1">
        <v>3</v>
      </c>
      <c r="D198" s="4">
        <v>1500000</v>
      </c>
    </row>
    <row r="199" spans="1:4" x14ac:dyDescent="0.35">
      <c r="A199" s="1" t="s">
        <v>582</v>
      </c>
      <c r="B199" t="s">
        <v>237</v>
      </c>
      <c r="C199" s="1">
        <v>4</v>
      </c>
      <c r="D199" s="4">
        <v>1000000</v>
      </c>
    </row>
    <row r="200" spans="1:4" x14ac:dyDescent="0.35">
      <c r="A200" s="1" t="s">
        <v>583</v>
      </c>
      <c r="B200" t="s">
        <v>238</v>
      </c>
      <c r="C200" s="1">
        <v>3</v>
      </c>
      <c r="D200" s="4">
        <v>1500000</v>
      </c>
    </row>
    <row r="201" spans="1:4" x14ac:dyDescent="0.35">
      <c r="A201" s="1" t="s">
        <v>584</v>
      </c>
      <c r="B201" t="s">
        <v>239</v>
      </c>
      <c r="C201" s="1">
        <v>4</v>
      </c>
      <c r="D201" s="4">
        <v>1000000</v>
      </c>
    </row>
    <row r="202" spans="1:4" x14ac:dyDescent="0.35">
      <c r="A202" s="1" t="s">
        <v>585</v>
      </c>
      <c r="B202" t="s">
        <v>240</v>
      </c>
      <c r="C202" s="1">
        <v>3</v>
      </c>
      <c r="D202" s="4">
        <v>1500000</v>
      </c>
    </row>
    <row r="203" spans="1:4" x14ac:dyDescent="0.35">
      <c r="A203" s="1" t="s">
        <v>586</v>
      </c>
      <c r="B203" t="s">
        <v>241</v>
      </c>
      <c r="C203" s="1">
        <v>4</v>
      </c>
      <c r="D203" s="4">
        <v>1000000</v>
      </c>
    </row>
    <row r="204" spans="1:4" x14ac:dyDescent="0.35">
      <c r="A204" s="1" t="s">
        <v>587</v>
      </c>
      <c r="B204" t="s">
        <v>242</v>
      </c>
      <c r="C204" s="1">
        <v>3</v>
      </c>
      <c r="D204" s="4">
        <v>1500000</v>
      </c>
    </row>
    <row r="205" spans="1:4" x14ac:dyDescent="0.35">
      <c r="A205" s="1" t="s">
        <v>588</v>
      </c>
      <c r="B205" t="s">
        <v>243</v>
      </c>
      <c r="C205" s="1">
        <v>3</v>
      </c>
      <c r="D205" s="4">
        <v>1500000</v>
      </c>
    </row>
    <row r="206" spans="1:4" x14ac:dyDescent="0.35">
      <c r="A206" s="1" t="s">
        <v>589</v>
      </c>
      <c r="B206" t="s">
        <v>244</v>
      </c>
      <c r="C206" s="1">
        <v>3</v>
      </c>
      <c r="D206" s="4">
        <v>1500000</v>
      </c>
    </row>
    <row r="207" spans="1:4" x14ac:dyDescent="0.35">
      <c r="A207" s="1" t="s">
        <v>590</v>
      </c>
      <c r="B207" t="s">
        <v>245</v>
      </c>
      <c r="C207" s="1">
        <v>4</v>
      </c>
      <c r="D207" s="4">
        <v>1000000</v>
      </c>
    </row>
    <row r="208" spans="1:4" x14ac:dyDescent="0.35">
      <c r="A208" s="1" t="s">
        <v>591</v>
      </c>
      <c r="B208" t="s">
        <v>246</v>
      </c>
      <c r="C208" s="1">
        <v>3</v>
      </c>
      <c r="D208" s="4">
        <v>1500000</v>
      </c>
    </row>
    <row r="209" spans="1:4" x14ac:dyDescent="0.35">
      <c r="A209" s="1" t="s">
        <v>592</v>
      </c>
      <c r="B209" t="s">
        <v>247</v>
      </c>
      <c r="C209" s="1">
        <v>3</v>
      </c>
      <c r="D209" s="4">
        <v>1500000</v>
      </c>
    </row>
    <row r="210" spans="1:4" x14ac:dyDescent="0.35">
      <c r="A210" s="1" t="s">
        <v>593</v>
      </c>
      <c r="B210" t="s">
        <v>248</v>
      </c>
      <c r="C210" s="1">
        <v>3</v>
      </c>
      <c r="D210" s="4">
        <v>1500000</v>
      </c>
    </row>
    <row r="211" spans="1:4" x14ac:dyDescent="0.35">
      <c r="A211" s="1" t="s">
        <v>594</v>
      </c>
      <c r="B211" t="s">
        <v>249</v>
      </c>
      <c r="C211" s="1">
        <v>4</v>
      </c>
      <c r="D211" s="4">
        <v>1000000</v>
      </c>
    </row>
    <row r="212" spans="1:4" x14ac:dyDescent="0.35">
      <c r="A212" s="1" t="s">
        <v>595</v>
      </c>
      <c r="B212" t="s">
        <v>250</v>
      </c>
      <c r="C212" s="1">
        <v>3</v>
      </c>
      <c r="D212" s="4">
        <v>1500000</v>
      </c>
    </row>
    <row r="213" spans="1:4" x14ac:dyDescent="0.35">
      <c r="A213" s="1" t="s">
        <v>596</v>
      </c>
      <c r="B213" t="s">
        <v>251</v>
      </c>
      <c r="C213" s="1">
        <v>4</v>
      </c>
      <c r="D213" s="4">
        <v>1000000</v>
      </c>
    </row>
    <row r="214" spans="1:4" x14ac:dyDescent="0.35">
      <c r="A214" s="1" t="s">
        <v>597</v>
      </c>
      <c r="B214" t="s">
        <v>252</v>
      </c>
      <c r="C214" s="1">
        <v>3</v>
      </c>
      <c r="D214" s="4">
        <v>1500000</v>
      </c>
    </row>
    <row r="215" spans="1:4" x14ac:dyDescent="0.35">
      <c r="A215" s="1" t="s">
        <v>598</v>
      </c>
      <c r="B215" t="s">
        <v>253</v>
      </c>
      <c r="C215" s="1">
        <v>3</v>
      </c>
      <c r="D215" s="4">
        <v>1500000</v>
      </c>
    </row>
    <row r="216" spans="1:4" x14ac:dyDescent="0.35">
      <c r="A216" s="1" t="s">
        <v>599</v>
      </c>
      <c r="B216" t="s">
        <v>254</v>
      </c>
      <c r="C216" s="1">
        <v>3</v>
      </c>
      <c r="D216" s="4">
        <v>1500000</v>
      </c>
    </row>
    <row r="217" spans="1:4" x14ac:dyDescent="0.35">
      <c r="A217" s="1" t="s">
        <v>600</v>
      </c>
      <c r="B217" t="s">
        <v>255</v>
      </c>
      <c r="C217" s="1">
        <v>3</v>
      </c>
      <c r="D217" s="4">
        <v>1500000</v>
      </c>
    </row>
    <row r="218" spans="1:4" x14ac:dyDescent="0.35">
      <c r="A218" s="1" t="s">
        <v>601</v>
      </c>
      <c r="B218" t="s">
        <v>256</v>
      </c>
      <c r="C218" s="1">
        <v>3</v>
      </c>
      <c r="D218" s="4">
        <v>1500000</v>
      </c>
    </row>
    <row r="219" spans="1:4" x14ac:dyDescent="0.35">
      <c r="A219" s="1" t="s">
        <v>602</v>
      </c>
      <c r="B219" t="s">
        <v>257</v>
      </c>
      <c r="C219" s="1">
        <v>4</v>
      </c>
      <c r="D219" s="4">
        <v>1000000</v>
      </c>
    </row>
    <row r="220" spans="1:4" x14ac:dyDescent="0.35">
      <c r="A220" s="1" t="s">
        <v>603</v>
      </c>
      <c r="B220" t="s">
        <v>258</v>
      </c>
      <c r="C220" s="1">
        <v>4</v>
      </c>
      <c r="D220" s="4">
        <v>1000000</v>
      </c>
    </row>
    <row r="221" spans="1:4" x14ac:dyDescent="0.35">
      <c r="A221" s="1" t="s">
        <v>604</v>
      </c>
      <c r="B221" t="s">
        <v>259</v>
      </c>
      <c r="C221" s="1">
        <v>3</v>
      </c>
      <c r="D221" s="4">
        <v>1500000</v>
      </c>
    </row>
    <row r="222" spans="1:4" x14ac:dyDescent="0.35">
      <c r="A222" s="1" t="s">
        <v>605</v>
      </c>
      <c r="B222" t="s">
        <v>260</v>
      </c>
      <c r="C222" s="1">
        <v>3</v>
      </c>
      <c r="D222" s="4">
        <v>1500000</v>
      </c>
    </row>
    <row r="223" spans="1:4" x14ac:dyDescent="0.35">
      <c r="A223" s="1" t="s">
        <v>606</v>
      </c>
      <c r="B223" t="s">
        <v>261</v>
      </c>
      <c r="C223" s="1">
        <v>4</v>
      </c>
      <c r="D223" s="4">
        <v>1000000</v>
      </c>
    </row>
    <row r="224" spans="1:4" x14ac:dyDescent="0.35">
      <c r="A224" s="1" t="s">
        <v>607</v>
      </c>
      <c r="B224" t="s">
        <v>262</v>
      </c>
      <c r="C224" s="1">
        <v>4</v>
      </c>
      <c r="D224" s="4">
        <v>1000000</v>
      </c>
    </row>
    <row r="225" spans="1:4" x14ac:dyDescent="0.35">
      <c r="A225" s="1" t="s">
        <v>608</v>
      </c>
      <c r="B225" t="s">
        <v>263</v>
      </c>
      <c r="C225" s="1">
        <v>3</v>
      </c>
      <c r="D225" s="4">
        <v>1500000</v>
      </c>
    </row>
    <row r="226" spans="1:4" x14ac:dyDescent="0.35">
      <c r="A226" s="1" t="s">
        <v>609</v>
      </c>
      <c r="B226" t="s">
        <v>264</v>
      </c>
      <c r="C226" s="1">
        <v>2</v>
      </c>
      <c r="D226" s="4">
        <v>2000000</v>
      </c>
    </row>
    <row r="227" spans="1:4" x14ac:dyDescent="0.35">
      <c r="A227" s="1" t="s">
        <v>610</v>
      </c>
      <c r="B227" t="s">
        <v>265</v>
      </c>
      <c r="C227" s="1">
        <v>3</v>
      </c>
      <c r="D227" s="4">
        <v>1500000</v>
      </c>
    </row>
    <row r="228" spans="1:4" x14ac:dyDescent="0.35">
      <c r="A228" s="1" t="s">
        <v>611</v>
      </c>
      <c r="B228" t="s">
        <v>266</v>
      </c>
      <c r="C228" s="1">
        <v>3</v>
      </c>
      <c r="D228" s="4">
        <v>1500000</v>
      </c>
    </row>
    <row r="229" spans="1:4" x14ac:dyDescent="0.35">
      <c r="A229" s="1" t="s">
        <v>612</v>
      </c>
      <c r="B229" t="s">
        <v>267</v>
      </c>
      <c r="C229" s="1">
        <v>3</v>
      </c>
      <c r="D229" s="4">
        <v>1497100</v>
      </c>
    </row>
    <row r="230" spans="1:4" x14ac:dyDescent="0.35">
      <c r="A230" s="1" t="s">
        <v>613</v>
      </c>
      <c r="B230" t="s">
        <v>268</v>
      </c>
      <c r="C230" s="1">
        <v>4</v>
      </c>
      <c r="D230" s="4">
        <v>1000000</v>
      </c>
    </row>
    <row r="231" spans="1:4" x14ac:dyDescent="0.35">
      <c r="A231" s="1" t="s">
        <v>614</v>
      </c>
      <c r="B231" t="s">
        <v>269</v>
      </c>
      <c r="C231" s="1">
        <v>4</v>
      </c>
      <c r="D231" s="4">
        <v>1000000</v>
      </c>
    </row>
    <row r="232" spans="1:4" x14ac:dyDescent="0.35">
      <c r="A232" s="1" t="s">
        <v>615</v>
      </c>
      <c r="B232" t="s">
        <v>270</v>
      </c>
      <c r="C232" s="1">
        <v>3</v>
      </c>
      <c r="D232" s="4">
        <v>1500000</v>
      </c>
    </row>
    <row r="233" spans="1:4" x14ac:dyDescent="0.35">
      <c r="A233" s="1" t="s">
        <v>616</v>
      </c>
      <c r="B233" t="s">
        <v>271</v>
      </c>
      <c r="C233" s="1">
        <v>3</v>
      </c>
      <c r="D233" s="4">
        <v>1500000</v>
      </c>
    </row>
    <row r="234" spans="1:4" x14ac:dyDescent="0.35">
      <c r="A234" s="1" t="s">
        <v>617</v>
      </c>
      <c r="B234" t="s">
        <v>272</v>
      </c>
      <c r="C234" s="1">
        <v>4</v>
      </c>
      <c r="D234" s="4">
        <v>1000000</v>
      </c>
    </row>
    <row r="235" spans="1:4" x14ac:dyDescent="0.35">
      <c r="A235" s="1" t="s">
        <v>618</v>
      </c>
      <c r="B235" t="s">
        <v>273</v>
      </c>
      <c r="C235" s="1">
        <v>3</v>
      </c>
      <c r="D235" s="4">
        <v>1500000</v>
      </c>
    </row>
    <row r="236" spans="1:4" x14ac:dyDescent="0.35">
      <c r="A236" s="1" t="s">
        <v>619</v>
      </c>
      <c r="B236" t="s">
        <v>274</v>
      </c>
      <c r="C236" s="1">
        <v>4</v>
      </c>
      <c r="D236" s="4">
        <v>1000000</v>
      </c>
    </row>
    <row r="237" spans="1:4" x14ac:dyDescent="0.35">
      <c r="A237" s="1" t="s">
        <v>620</v>
      </c>
      <c r="B237" t="s">
        <v>275</v>
      </c>
      <c r="C237" s="1">
        <v>4</v>
      </c>
      <c r="D237" s="4">
        <v>1000000</v>
      </c>
    </row>
    <row r="238" spans="1:4" x14ac:dyDescent="0.35">
      <c r="A238" s="1" t="s">
        <v>621</v>
      </c>
      <c r="B238" t="s">
        <v>276</v>
      </c>
      <c r="C238" s="1">
        <v>3</v>
      </c>
      <c r="D238" s="4">
        <v>1500000</v>
      </c>
    </row>
    <row r="239" spans="1:4" x14ac:dyDescent="0.35">
      <c r="A239" s="1" t="s">
        <v>622</v>
      </c>
      <c r="B239" t="s">
        <v>277</v>
      </c>
      <c r="C239" s="1">
        <v>3</v>
      </c>
      <c r="D239" s="4">
        <v>1500000</v>
      </c>
    </row>
    <row r="240" spans="1:4" x14ac:dyDescent="0.35">
      <c r="A240" s="1" t="s">
        <v>623</v>
      </c>
      <c r="B240" t="s">
        <v>278</v>
      </c>
      <c r="C240" s="1">
        <v>2</v>
      </c>
      <c r="D240" s="4">
        <v>2000000</v>
      </c>
    </row>
    <row r="241" spans="1:4" x14ac:dyDescent="0.35">
      <c r="A241" s="1" t="s">
        <v>624</v>
      </c>
      <c r="B241" t="s">
        <v>279</v>
      </c>
      <c r="C241" s="1">
        <v>3</v>
      </c>
      <c r="D241" s="4">
        <v>1500000</v>
      </c>
    </row>
    <row r="242" spans="1:4" x14ac:dyDescent="0.35">
      <c r="A242" s="1" t="s">
        <v>625</v>
      </c>
      <c r="B242" t="s">
        <v>280</v>
      </c>
      <c r="C242" s="1">
        <v>3</v>
      </c>
      <c r="D242" s="4">
        <v>1500000</v>
      </c>
    </row>
    <row r="243" spans="1:4" x14ac:dyDescent="0.35">
      <c r="A243" s="1" t="s">
        <v>626</v>
      </c>
      <c r="B243" t="s">
        <v>281</v>
      </c>
      <c r="C243" s="1">
        <v>4</v>
      </c>
      <c r="D243" s="4">
        <v>1000000</v>
      </c>
    </row>
    <row r="244" spans="1:4" x14ac:dyDescent="0.35">
      <c r="A244" s="1" t="s">
        <v>627</v>
      </c>
      <c r="B244" t="s">
        <v>282</v>
      </c>
      <c r="C244" s="1">
        <v>3</v>
      </c>
      <c r="D244" s="4">
        <v>1500000</v>
      </c>
    </row>
    <row r="245" spans="1:4" x14ac:dyDescent="0.35">
      <c r="A245" s="1" t="s">
        <v>628</v>
      </c>
      <c r="B245" t="s">
        <v>283</v>
      </c>
      <c r="C245" s="1">
        <v>3</v>
      </c>
      <c r="D245" s="4">
        <v>1500000</v>
      </c>
    </row>
    <row r="246" spans="1:4" x14ac:dyDescent="0.35">
      <c r="A246" s="1" t="s">
        <v>629</v>
      </c>
      <c r="B246" t="s">
        <v>284</v>
      </c>
      <c r="C246" s="1">
        <v>2</v>
      </c>
      <c r="D246" s="4">
        <v>2000000</v>
      </c>
    </row>
    <row r="247" spans="1:4" x14ac:dyDescent="0.35">
      <c r="A247" s="1" t="s">
        <v>630</v>
      </c>
      <c r="B247" t="s">
        <v>285</v>
      </c>
      <c r="C247" s="1">
        <v>2</v>
      </c>
      <c r="D247" s="4">
        <v>2000000</v>
      </c>
    </row>
    <row r="248" spans="1:4" x14ac:dyDescent="0.35">
      <c r="A248" s="1" t="s">
        <v>631</v>
      </c>
      <c r="B248" t="s">
        <v>286</v>
      </c>
      <c r="C248" s="1">
        <v>2</v>
      </c>
      <c r="D248" s="4">
        <v>2000000</v>
      </c>
    </row>
    <row r="249" spans="1:4" x14ac:dyDescent="0.35">
      <c r="A249" s="1" t="s">
        <v>632</v>
      </c>
      <c r="B249" t="s">
        <v>287</v>
      </c>
      <c r="C249" s="1">
        <v>4</v>
      </c>
      <c r="D249" s="4">
        <v>1000000</v>
      </c>
    </row>
    <row r="250" spans="1:4" x14ac:dyDescent="0.35">
      <c r="A250" s="1" t="s">
        <v>633</v>
      </c>
      <c r="B250" t="s">
        <v>288</v>
      </c>
      <c r="C250" s="1">
        <v>4</v>
      </c>
      <c r="D250" s="4">
        <v>1000000</v>
      </c>
    </row>
    <row r="251" spans="1:4" x14ac:dyDescent="0.35">
      <c r="A251" s="1" t="s">
        <v>634</v>
      </c>
      <c r="B251" t="s">
        <v>289</v>
      </c>
      <c r="C251" s="1">
        <v>3</v>
      </c>
      <c r="D251" s="4">
        <v>1500000</v>
      </c>
    </row>
    <row r="252" spans="1:4" x14ac:dyDescent="0.35">
      <c r="A252" s="1" t="s">
        <v>635</v>
      </c>
      <c r="B252" t="s">
        <v>290</v>
      </c>
      <c r="C252" s="1">
        <v>4</v>
      </c>
      <c r="D252" s="4">
        <v>1000000</v>
      </c>
    </row>
    <row r="253" spans="1:4" x14ac:dyDescent="0.35">
      <c r="A253" s="1" t="s">
        <v>636</v>
      </c>
      <c r="B253" t="s">
        <v>291</v>
      </c>
      <c r="C253" s="1">
        <v>4</v>
      </c>
      <c r="D253" s="4">
        <v>997100</v>
      </c>
    </row>
    <row r="254" spans="1:4" x14ac:dyDescent="0.35">
      <c r="A254" s="1" t="s">
        <v>637</v>
      </c>
      <c r="B254" t="s">
        <v>292</v>
      </c>
      <c r="C254" s="1">
        <v>4</v>
      </c>
      <c r="D254" s="4">
        <v>1000000</v>
      </c>
    </row>
    <row r="255" spans="1:4" x14ac:dyDescent="0.35">
      <c r="A255" s="1" t="s">
        <v>638</v>
      </c>
      <c r="B255" t="s">
        <v>293</v>
      </c>
      <c r="C255" s="1">
        <v>2</v>
      </c>
      <c r="D255" s="4">
        <v>2000000</v>
      </c>
    </row>
    <row r="256" spans="1:4" x14ac:dyDescent="0.35">
      <c r="A256" s="1" t="s">
        <v>639</v>
      </c>
      <c r="B256" t="s">
        <v>294</v>
      </c>
      <c r="C256" s="1">
        <v>3</v>
      </c>
      <c r="D256" s="4">
        <v>1500000</v>
      </c>
    </row>
    <row r="257" spans="1:4" x14ac:dyDescent="0.35">
      <c r="A257" s="1" t="s">
        <v>640</v>
      </c>
      <c r="B257" t="s">
        <v>295</v>
      </c>
      <c r="C257" s="1">
        <v>4</v>
      </c>
      <c r="D257" s="4">
        <v>1000000</v>
      </c>
    </row>
    <row r="258" spans="1:4" x14ac:dyDescent="0.35">
      <c r="A258" s="1" t="s">
        <v>641</v>
      </c>
      <c r="B258" t="s">
        <v>296</v>
      </c>
      <c r="C258" s="1">
        <v>4</v>
      </c>
      <c r="D258" s="4">
        <v>1000000</v>
      </c>
    </row>
    <row r="259" spans="1:4" x14ac:dyDescent="0.35">
      <c r="A259" s="1" t="s">
        <v>642</v>
      </c>
      <c r="B259" t="s">
        <v>297</v>
      </c>
      <c r="C259" s="1">
        <v>4</v>
      </c>
      <c r="D259" s="4">
        <v>1000000</v>
      </c>
    </row>
    <row r="260" spans="1:4" x14ac:dyDescent="0.35">
      <c r="A260" s="1" t="s">
        <v>643</v>
      </c>
      <c r="B260" t="s">
        <v>298</v>
      </c>
      <c r="C260" s="1">
        <v>4</v>
      </c>
      <c r="D260" s="4">
        <v>1000000</v>
      </c>
    </row>
    <row r="261" spans="1:4" x14ac:dyDescent="0.35">
      <c r="A261" s="1" t="s">
        <v>644</v>
      </c>
      <c r="B261" t="s">
        <v>299</v>
      </c>
      <c r="C261" s="1">
        <v>4</v>
      </c>
      <c r="D261" s="4">
        <v>1000000</v>
      </c>
    </row>
    <row r="262" spans="1:4" x14ac:dyDescent="0.35">
      <c r="A262" s="1" t="s">
        <v>645</v>
      </c>
      <c r="B262" t="s">
        <v>300</v>
      </c>
      <c r="C262" s="1">
        <v>4</v>
      </c>
      <c r="D262" s="4">
        <v>1000000</v>
      </c>
    </row>
    <row r="263" spans="1:4" x14ac:dyDescent="0.35">
      <c r="A263" s="1" t="s">
        <v>646</v>
      </c>
      <c r="B263" t="s">
        <v>301</v>
      </c>
      <c r="C263" s="1">
        <v>3</v>
      </c>
      <c r="D263" s="4">
        <v>1500000</v>
      </c>
    </row>
    <row r="264" spans="1:4" x14ac:dyDescent="0.35">
      <c r="A264" s="1" t="s">
        <v>647</v>
      </c>
      <c r="B264" t="s">
        <v>302</v>
      </c>
      <c r="C264" s="1">
        <v>4</v>
      </c>
      <c r="D264" s="4">
        <v>1000000</v>
      </c>
    </row>
    <row r="265" spans="1:4" x14ac:dyDescent="0.35">
      <c r="A265" s="1" t="s">
        <v>648</v>
      </c>
      <c r="B265" t="s">
        <v>303</v>
      </c>
      <c r="C265" s="1">
        <v>1</v>
      </c>
      <c r="D265" s="4">
        <v>3000000</v>
      </c>
    </row>
    <row r="266" spans="1:4" x14ac:dyDescent="0.35">
      <c r="A266" s="1" t="s">
        <v>649</v>
      </c>
      <c r="B266" t="s">
        <v>304</v>
      </c>
      <c r="C266" s="1">
        <v>3</v>
      </c>
      <c r="D266" s="4">
        <v>1500000</v>
      </c>
    </row>
    <row r="267" spans="1:4" x14ac:dyDescent="0.35">
      <c r="A267" s="1" t="s">
        <v>650</v>
      </c>
      <c r="B267" t="s">
        <v>305</v>
      </c>
      <c r="C267" s="1">
        <v>2</v>
      </c>
      <c r="D267" s="4">
        <v>2000000</v>
      </c>
    </row>
    <row r="268" spans="1:4" x14ac:dyDescent="0.35">
      <c r="A268" s="1" t="s">
        <v>651</v>
      </c>
      <c r="B268" t="s">
        <v>306</v>
      </c>
      <c r="C268" s="1">
        <v>3</v>
      </c>
      <c r="D268" s="4">
        <v>1500000</v>
      </c>
    </row>
    <row r="269" spans="1:4" x14ac:dyDescent="0.35">
      <c r="A269" s="1" t="s">
        <v>652</v>
      </c>
      <c r="B269" t="s">
        <v>307</v>
      </c>
      <c r="C269" s="1">
        <v>3</v>
      </c>
      <c r="D269" s="4">
        <v>1500000</v>
      </c>
    </row>
    <row r="270" spans="1:4" x14ac:dyDescent="0.35">
      <c r="A270" s="1" t="s">
        <v>653</v>
      </c>
      <c r="B270" t="s">
        <v>308</v>
      </c>
      <c r="C270" s="1">
        <v>3</v>
      </c>
      <c r="D270" s="4">
        <v>1497500</v>
      </c>
    </row>
    <row r="271" spans="1:4" x14ac:dyDescent="0.35">
      <c r="A271" s="1" t="s">
        <v>654</v>
      </c>
      <c r="B271" t="s">
        <v>309</v>
      </c>
      <c r="C271" s="1">
        <v>2</v>
      </c>
      <c r="D271" s="4">
        <v>2000000</v>
      </c>
    </row>
    <row r="272" spans="1:4" x14ac:dyDescent="0.35">
      <c r="A272" s="1" t="s">
        <v>655</v>
      </c>
      <c r="B272" t="s">
        <v>310</v>
      </c>
      <c r="C272" s="1">
        <v>2</v>
      </c>
      <c r="D272" s="4">
        <v>2000000</v>
      </c>
    </row>
    <row r="273" spans="1:4" x14ac:dyDescent="0.35">
      <c r="A273" s="1" t="s">
        <v>656</v>
      </c>
      <c r="B273" t="s">
        <v>311</v>
      </c>
      <c r="C273" s="1">
        <v>3</v>
      </c>
      <c r="D273" s="4">
        <v>1500000</v>
      </c>
    </row>
    <row r="274" spans="1:4" x14ac:dyDescent="0.35">
      <c r="A274" s="1" t="s">
        <v>657</v>
      </c>
      <c r="B274" t="s">
        <v>312</v>
      </c>
      <c r="C274" s="1">
        <v>2</v>
      </c>
      <c r="D274" s="4">
        <v>2000000</v>
      </c>
    </row>
    <row r="275" spans="1:4" x14ac:dyDescent="0.35">
      <c r="A275" s="1" t="s">
        <v>658</v>
      </c>
      <c r="B275" t="s">
        <v>313</v>
      </c>
      <c r="C275" s="1">
        <v>3</v>
      </c>
      <c r="D275" s="4">
        <v>1500000</v>
      </c>
    </row>
    <row r="276" spans="1:4" x14ac:dyDescent="0.35">
      <c r="A276" s="1" t="s">
        <v>659</v>
      </c>
      <c r="B276" t="s">
        <v>314</v>
      </c>
      <c r="C276" s="1">
        <v>4</v>
      </c>
      <c r="D276" s="4">
        <v>1000000</v>
      </c>
    </row>
    <row r="277" spans="1:4" x14ac:dyDescent="0.35">
      <c r="A277" s="1" t="s">
        <v>660</v>
      </c>
      <c r="B277" t="s">
        <v>315</v>
      </c>
      <c r="C277" s="1">
        <v>3</v>
      </c>
      <c r="D277" s="4">
        <v>1500000</v>
      </c>
    </row>
    <row r="278" spans="1:4" x14ac:dyDescent="0.35">
      <c r="A278" s="1" t="s">
        <v>661</v>
      </c>
      <c r="B278" t="s">
        <v>316</v>
      </c>
      <c r="C278" s="1">
        <v>3</v>
      </c>
      <c r="D278" s="4">
        <v>1500000</v>
      </c>
    </row>
    <row r="279" spans="1:4" x14ac:dyDescent="0.35">
      <c r="A279" s="1" t="s">
        <v>662</v>
      </c>
      <c r="B279" t="s">
        <v>317</v>
      </c>
      <c r="C279" s="1">
        <v>4</v>
      </c>
      <c r="D279" s="4">
        <v>1000000</v>
      </c>
    </row>
    <row r="280" spans="1:4" x14ac:dyDescent="0.35">
      <c r="A280" s="1" t="s">
        <v>663</v>
      </c>
      <c r="B280" t="s">
        <v>318</v>
      </c>
      <c r="C280" s="1">
        <v>4</v>
      </c>
      <c r="D280" s="4">
        <v>1000000</v>
      </c>
    </row>
    <row r="281" spans="1:4" x14ac:dyDescent="0.35">
      <c r="A281" s="1" t="s">
        <v>664</v>
      </c>
      <c r="B281" t="s">
        <v>319</v>
      </c>
      <c r="C281" s="1">
        <v>3</v>
      </c>
      <c r="D281" s="4">
        <v>1500000</v>
      </c>
    </row>
    <row r="282" spans="1:4" x14ac:dyDescent="0.35">
      <c r="A282" s="1" t="s">
        <v>665</v>
      </c>
      <c r="B282" t="s">
        <v>320</v>
      </c>
      <c r="C282" s="1">
        <v>3</v>
      </c>
      <c r="D282" s="4">
        <v>1500000</v>
      </c>
    </row>
    <row r="283" spans="1:4" x14ac:dyDescent="0.35">
      <c r="A283" s="1" t="s">
        <v>666</v>
      </c>
      <c r="B283" t="s">
        <v>321</v>
      </c>
      <c r="C283" s="1">
        <v>3</v>
      </c>
      <c r="D283" s="4">
        <v>1500000</v>
      </c>
    </row>
    <row r="284" spans="1:4" x14ac:dyDescent="0.35">
      <c r="A284" s="1" t="s">
        <v>667</v>
      </c>
      <c r="B284" t="s">
        <v>322</v>
      </c>
      <c r="C284" s="1">
        <v>3</v>
      </c>
      <c r="D284" s="4">
        <v>1500000</v>
      </c>
    </row>
    <row r="285" spans="1:4" x14ac:dyDescent="0.35">
      <c r="A285" s="1" t="s">
        <v>668</v>
      </c>
      <c r="B285" t="s">
        <v>323</v>
      </c>
      <c r="C285" s="1">
        <v>4</v>
      </c>
      <c r="D285" s="4">
        <v>1000000</v>
      </c>
    </row>
    <row r="286" spans="1:4" x14ac:dyDescent="0.35">
      <c r="A286" s="1" t="s">
        <v>669</v>
      </c>
      <c r="B286" t="s">
        <v>324</v>
      </c>
      <c r="C286" s="1">
        <v>4</v>
      </c>
      <c r="D286" s="4">
        <v>1000000</v>
      </c>
    </row>
    <row r="287" spans="1:4" x14ac:dyDescent="0.35">
      <c r="A287" s="1" t="s">
        <v>670</v>
      </c>
      <c r="B287" t="s">
        <v>325</v>
      </c>
      <c r="C287" s="1">
        <v>4</v>
      </c>
      <c r="D287" s="4">
        <v>1000000</v>
      </c>
    </row>
    <row r="288" spans="1:4" x14ac:dyDescent="0.35">
      <c r="A288" s="1" t="s">
        <v>671</v>
      </c>
      <c r="B288" t="s">
        <v>326</v>
      </c>
      <c r="C288" s="1">
        <v>4</v>
      </c>
      <c r="D288" s="4">
        <v>1000000</v>
      </c>
    </row>
    <row r="289" spans="1:4" x14ac:dyDescent="0.35">
      <c r="A289" s="1" t="s">
        <v>672</v>
      </c>
      <c r="B289" t="s">
        <v>327</v>
      </c>
      <c r="C289" s="1">
        <v>2</v>
      </c>
      <c r="D289" s="4">
        <v>2000000</v>
      </c>
    </row>
    <row r="290" spans="1:4" x14ac:dyDescent="0.35">
      <c r="A290" s="1" t="s">
        <v>673</v>
      </c>
      <c r="B290" t="s">
        <v>328</v>
      </c>
      <c r="C290" s="1">
        <v>2</v>
      </c>
      <c r="D290" s="4">
        <v>2000000</v>
      </c>
    </row>
    <row r="291" spans="1:4" x14ac:dyDescent="0.35">
      <c r="A291" s="1" t="s">
        <v>674</v>
      </c>
      <c r="B291" t="s">
        <v>329</v>
      </c>
      <c r="C291" s="1">
        <v>3</v>
      </c>
      <c r="D291" s="4">
        <v>1500000</v>
      </c>
    </row>
    <row r="292" spans="1:4" x14ac:dyDescent="0.35">
      <c r="A292" s="1" t="s">
        <v>675</v>
      </c>
      <c r="B292" t="s">
        <v>330</v>
      </c>
      <c r="C292" s="1">
        <v>3</v>
      </c>
      <c r="D292" s="4">
        <v>1500000</v>
      </c>
    </row>
    <row r="293" spans="1:4" x14ac:dyDescent="0.35">
      <c r="A293" s="1" t="s">
        <v>676</v>
      </c>
      <c r="B293" t="s">
        <v>331</v>
      </c>
      <c r="C293" s="1">
        <v>4</v>
      </c>
      <c r="D293" s="4">
        <v>1000000</v>
      </c>
    </row>
    <row r="294" spans="1:4" x14ac:dyDescent="0.35">
      <c r="A294" s="1" t="s">
        <v>677</v>
      </c>
      <c r="B294" t="s">
        <v>332</v>
      </c>
      <c r="C294" s="1">
        <v>3</v>
      </c>
      <c r="D294" s="4">
        <v>1500000</v>
      </c>
    </row>
    <row r="295" spans="1:4" x14ac:dyDescent="0.35">
      <c r="A295" s="1" t="s">
        <v>678</v>
      </c>
      <c r="B295" t="s">
        <v>333</v>
      </c>
      <c r="C295" s="1">
        <v>3</v>
      </c>
      <c r="D295" s="4">
        <v>1500000</v>
      </c>
    </row>
    <row r="296" spans="1:4" x14ac:dyDescent="0.35">
      <c r="A296" s="1" t="s">
        <v>679</v>
      </c>
      <c r="B296" t="s">
        <v>334</v>
      </c>
      <c r="C296" s="1">
        <v>3</v>
      </c>
      <c r="D296" s="4">
        <v>1497100</v>
      </c>
    </row>
    <row r="297" spans="1:4" x14ac:dyDescent="0.35">
      <c r="A297" s="1" t="s">
        <v>680</v>
      </c>
      <c r="B297" t="s">
        <v>335</v>
      </c>
      <c r="C297" s="1">
        <v>3</v>
      </c>
      <c r="D297" s="4">
        <v>1500000</v>
      </c>
    </row>
    <row r="298" spans="1:4" x14ac:dyDescent="0.35">
      <c r="A298" s="1" t="s">
        <v>681</v>
      </c>
      <c r="B298" t="s">
        <v>336</v>
      </c>
      <c r="C298" s="1">
        <v>2</v>
      </c>
      <c r="D298" s="4">
        <v>2000000</v>
      </c>
    </row>
    <row r="299" spans="1:4" x14ac:dyDescent="0.35">
      <c r="A299" s="1" t="s">
        <v>682</v>
      </c>
      <c r="B299" t="s">
        <v>337</v>
      </c>
      <c r="C299" s="1">
        <v>4</v>
      </c>
      <c r="D299" s="4">
        <v>1000000</v>
      </c>
    </row>
    <row r="300" spans="1:4" x14ac:dyDescent="0.35">
      <c r="A300" s="1" t="s">
        <v>683</v>
      </c>
      <c r="B300" t="s">
        <v>338</v>
      </c>
      <c r="C300" s="1">
        <v>4</v>
      </c>
      <c r="D300" s="4">
        <v>1000000</v>
      </c>
    </row>
    <row r="301" spans="1:4" x14ac:dyDescent="0.35">
      <c r="A301" s="1" t="s">
        <v>684</v>
      </c>
      <c r="B301" t="s">
        <v>339</v>
      </c>
      <c r="C301" s="1">
        <v>4</v>
      </c>
      <c r="D301" s="4">
        <v>1000000</v>
      </c>
    </row>
    <row r="302" spans="1:4" x14ac:dyDescent="0.35">
      <c r="A302" s="1" t="s">
        <v>685</v>
      </c>
      <c r="B302" t="s">
        <v>340</v>
      </c>
      <c r="C302" s="1">
        <v>3</v>
      </c>
      <c r="D302" s="4">
        <v>1500000</v>
      </c>
    </row>
    <row r="303" spans="1:4" x14ac:dyDescent="0.35">
      <c r="A303" s="1" t="s">
        <v>686</v>
      </c>
      <c r="B303" t="s">
        <v>341</v>
      </c>
      <c r="C303" s="1">
        <v>4</v>
      </c>
      <c r="D303" s="4">
        <v>1000000</v>
      </c>
    </row>
    <row r="304" spans="1:4" x14ac:dyDescent="0.35">
      <c r="A304" s="1" t="s">
        <v>687</v>
      </c>
      <c r="B304" t="s">
        <v>342</v>
      </c>
      <c r="C304" s="1">
        <v>4</v>
      </c>
      <c r="D304" s="4">
        <v>1000000</v>
      </c>
    </row>
    <row r="305" spans="1:4" x14ac:dyDescent="0.35">
      <c r="A305" s="1" t="s">
        <v>688</v>
      </c>
      <c r="B305" t="s">
        <v>343</v>
      </c>
      <c r="C305" s="1">
        <v>3</v>
      </c>
      <c r="D305" s="4">
        <v>1500000</v>
      </c>
    </row>
    <row r="306" spans="1:4" x14ac:dyDescent="0.35">
      <c r="A306" s="1" t="s">
        <v>689</v>
      </c>
      <c r="B306" t="s">
        <v>344</v>
      </c>
      <c r="C306" s="1">
        <v>4</v>
      </c>
      <c r="D306" s="4">
        <v>1000000</v>
      </c>
    </row>
    <row r="307" spans="1:4" x14ac:dyDescent="0.35">
      <c r="A307" s="1" t="s">
        <v>690</v>
      </c>
      <c r="B307" t="s">
        <v>345</v>
      </c>
      <c r="C307" s="1">
        <v>4</v>
      </c>
      <c r="D307" s="4">
        <v>1000000</v>
      </c>
    </row>
    <row r="308" spans="1:4" x14ac:dyDescent="0.35">
      <c r="A308" s="1" t="s">
        <v>691</v>
      </c>
      <c r="B308" t="s">
        <v>346</v>
      </c>
      <c r="C308" s="1">
        <v>3</v>
      </c>
      <c r="D308" s="4">
        <v>1500000</v>
      </c>
    </row>
    <row r="309" spans="1:4" x14ac:dyDescent="0.35">
      <c r="A309" s="1" t="s">
        <v>692</v>
      </c>
      <c r="B309" t="s">
        <v>347</v>
      </c>
      <c r="C309" s="1">
        <v>3</v>
      </c>
      <c r="D309" s="4">
        <v>1500000</v>
      </c>
    </row>
    <row r="310" spans="1:4" x14ac:dyDescent="0.35">
      <c r="A310" s="1" t="s">
        <v>693</v>
      </c>
      <c r="B310" t="s">
        <v>348</v>
      </c>
      <c r="C310" s="1">
        <v>1</v>
      </c>
      <c r="D310" s="4">
        <v>3000000</v>
      </c>
    </row>
    <row r="311" spans="1:4" x14ac:dyDescent="0.35">
      <c r="A311" s="1" t="s">
        <v>694</v>
      </c>
      <c r="B311" t="s">
        <v>349</v>
      </c>
      <c r="C311" s="1">
        <v>2</v>
      </c>
      <c r="D311" s="4">
        <v>1997100</v>
      </c>
    </row>
    <row r="312" spans="1:4" x14ac:dyDescent="0.35">
      <c r="A312" s="1" t="s">
        <v>695</v>
      </c>
      <c r="B312" t="s">
        <v>350</v>
      </c>
      <c r="C312" s="1">
        <v>3</v>
      </c>
      <c r="D312" s="4">
        <v>1500000</v>
      </c>
    </row>
    <row r="313" spans="1:4" x14ac:dyDescent="0.35">
      <c r="A313" s="1" t="s">
        <v>696</v>
      </c>
      <c r="B313" t="s">
        <v>351</v>
      </c>
      <c r="C313" s="1">
        <v>2</v>
      </c>
      <c r="D313" s="4">
        <v>2000000</v>
      </c>
    </row>
    <row r="314" spans="1:4" x14ac:dyDescent="0.35">
      <c r="A314" s="1" t="s">
        <v>697</v>
      </c>
      <c r="B314" t="s">
        <v>352</v>
      </c>
      <c r="C314" s="1">
        <v>3</v>
      </c>
      <c r="D314" s="4">
        <v>1500000</v>
      </c>
    </row>
    <row r="315" spans="1:4" x14ac:dyDescent="0.35">
      <c r="A315" s="1" t="s">
        <v>698</v>
      </c>
      <c r="B315" t="s">
        <v>353</v>
      </c>
      <c r="C315" s="1">
        <v>3</v>
      </c>
      <c r="D315" s="4">
        <v>1500000</v>
      </c>
    </row>
    <row r="316" spans="1:4" x14ac:dyDescent="0.35">
      <c r="A316" s="1" t="s">
        <v>699</v>
      </c>
      <c r="B316" t="s">
        <v>354</v>
      </c>
      <c r="C316" s="1">
        <v>3</v>
      </c>
      <c r="D316" s="4">
        <v>1500000</v>
      </c>
    </row>
    <row r="317" spans="1:4" x14ac:dyDescent="0.35">
      <c r="A317" s="1" t="s">
        <v>700</v>
      </c>
      <c r="B317" t="s">
        <v>355</v>
      </c>
      <c r="C317" s="1">
        <v>4</v>
      </c>
      <c r="D317" s="4">
        <v>1000000</v>
      </c>
    </row>
    <row r="318" spans="1:4" x14ac:dyDescent="0.35">
      <c r="A318" s="1" t="s">
        <v>701</v>
      </c>
      <c r="B318" t="s">
        <v>356</v>
      </c>
      <c r="C318" s="1">
        <v>3</v>
      </c>
      <c r="D318" s="4">
        <v>1500000</v>
      </c>
    </row>
    <row r="319" spans="1:4" x14ac:dyDescent="0.35">
      <c r="A319" s="1" t="s">
        <v>702</v>
      </c>
      <c r="B319" t="s">
        <v>357</v>
      </c>
      <c r="C319" s="1">
        <v>4</v>
      </c>
      <c r="D319" s="4">
        <v>1000000</v>
      </c>
    </row>
    <row r="320" spans="1:4" x14ac:dyDescent="0.35">
      <c r="A320" s="1" t="s">
        <v>703</v>
      </c>
      <c r="B320" t="s">
        <v>358</v>
      </c>
      <c r="C320" s="1">
        <v>4</v>
      </c>
      <c r="D320" s="4">
        <v>1000000</v>
      </c>
    </row>
    <row r="321" spans="1:4" x14ac:dyDescent="0.35">
      <c r="A321" s="1" t="s">
        <v>704</v>
      </c>
      <c r="B321" t="s">
        <v>359</v>
      </c>
      <c r="C321" s="1">
        <v>4</v>
      </c>
      <c r="D321" s="4">
        <v>1000000</v>
      </c>
    </row>
    <row r="322" spans="1:4" x14ac:dyDescent="0.35">
      <c r="A322" s="1" t="s">
        <v>705</v>
      </c>
      <c r="B322" t="s">
        <v>360</v>
      </c>
      <c r="C322" s="1">
        <v>4</v>
      </c>
      <c r="D322" s="4">
        <v>1000000</v>
      </c>
    </row>
    <row r="323" spans="1:4" x14ac:dyDescent="0.35">
      <c r="A323" s="1" t="s">
        <v>706</v>
      </c>
      <c r="B323" t="s">
        <v>361</v>
      </c>
      <c r="C323" s="1">
        <v>4</v>
      </c>
      <c r="D323" s="4">
        <v>1000000</v>
      </c>
    </row>
    <row r="324" spans="1:4" x14ac:dyDescent="0.35">
      <c r="A324" s="1" t="s">
        <v>707</v>
      </c>
      <c r="B324" t="s">
        <v>362</v>
      </c>
      <c r="C324" s="1">
        <v>2</v>
      </c>
      <c r="D324" s="4">
        <v>2000000</v>
      </c>
    </row>
    <row r="325" spans="1:4" x14ac:dyDescent="0.35">
      <c r="A325" s="1" t="s">
        <v>708</v>
      </c>
      <c r="B325" t="s">
        <v>363</v>
      </c>
      <c r="C325" s="1">
        <v>3</v>
      </c>
      <c r="D325" s="4">
        <v>1500000</v>
      </c>
    </row>
    <row r="326" spans="1:4" x14ac:dyDescent="0.35">
      <c r="A326" s="1" t="s">
        <v>709</v>
      </c>
      <c r="B326" t="s">
        <v>364</v>
      </c>
      <c r="C326" s="1">
        <v>4</v>
      </c>
      <c r="D326" s="4">
        <v>1000000</v>
      </c>
    </row>
    <row r="327" spans="1:4" x14ac:dyDescent="0.35">
      <c r="A327" s="1" t="s">
        <v>710</v>
      </c>
      <c r="B327" t="s">
        <v>365</v>
      </c>
      <c r="C327" s="1">
        <v>4</v>
      </c>
      <c r="D327" s="4">
        <v>1000000</v>
      </c>
    </row>
    <row r="328" spans="1:4" x14ac:dyDescent="0.35">
      <c r="A328" s="1" t="s">
        <v>711</v>
      </c>
      <c r="B328" t="s">
        <v>366</v>
      </c>
      <c r="C328" s="1">
        <v>3</v>
      </c>
      <c r="D328" s="4">
        <v>1500000</v>
      </c>
    </row>
    <row r="329" spans="1:4" x14ac:dyDescent="0.35">
      <c r="A329" s="1" t="s">
        <v>712</v>
      </c>
      <c r="B329" t="s">
        <v>367</v>
      </c>
      <c r="C329" s="1">
        <v>4</v>
      </c>
      <c r="D329" s="4">
        <v>1000000</v>
      </c>
    </row>
    <row r="330" spans="1:4" x14ac:dyDescent="0.35">
      <c r="A330" s="1" t="s">
        <v>713</v>
      </c>
      <c r="B330" t="s">
        <v>368</v>
      </c>
      <c r="C330" s="1">
        <v>3</v>
      </c>
      <c r="D330" s="4">
        <v>1500000</v>
      </c>
    </row>
    <row r="331" spans="1:4" x14ac:dyDescent="0.35">
      <c r="A331" s="1" t="s">
        <v>714</v>
      </c>
      <c r="B331" t="s">
        <v>369</v>
      </c>
      <c r="C331" s="1">
        <v>4</v>
      </c>
      <c r="D331" s="4">
        <v>1000000</v>
      </c>
    </row>
    <row r="332" spans="1:4" x14ac:dyDescent="0.35">
      <c r="A332" s="1" t="s">
        <v>715</v>
      </c>
      <c r="B332" t="s">
        <v>370</v>
      </c>
      <c r="C332" s="1">
        <v>4</v>
      </c>
      <c r="D332" s="4">
        <v>1000000</v>
      </c>
    </row>
    <row r="333" spans="1:4" x14ac:dyDescent="0.35">
      <c r="A333" s="1" t="s">
        <v>716</v>
      </c>
      <c r="B333" t="s">
        <v>371</v>
      </c>
      <c r="C333" s="1">
        <v>4</v>
      </c>
      <c r="D333" s="4">
        <v>1000000</v>
      </c>
    </row>
    <row r="334" spans="1:4" x14ac:dyDescent="0.35">
      <c r="A334" s="1" t="s">
        <v>717</v>
      </c>
      <c r="B334" t="s">
        <v>372</v>
      </c>
      <c r="C334" s="1">
        <v>4</v>
      </c>
      <c r="D334" s="4">
        <v>1000000</v>
      </c>
    </row>
    <row r="335" spans="1:4" x14ac:dyDescent="0.35">
      <c r="A335" s="1" t="s">
        <v>718</v>
      </c>
      <c r="B335" t="s">
        <v>373</v>
      </c>
      <c r="C335" s="1">
        <v>4</v>
      </c>
      <c r="D335" s="4">
        <v>1000000</v>
      </c>
    </row>
    <row r="336" spans="1:4" x14ac:dyDescent="0.35">
      <c r="A336" s="1" t="s">
        <v>719</v>
      </c>
      <c r="B336" t="s">
        <v>374</v>
      </c>
      <c r="C336" s="1">
        <v>2</v>
      </c>
      <c r="D336" s="4">
        <v>2000000</v>
      </c>
    </row>
    <row r="337" spans="1:4" x14ac:dyDescent="0.35">
      <c r="A337" s="1" t="s">
        <v>720</v>
      </c>
      <c r="B337" t="s">
        <v>375</v>
      </c>
      <c r="C337" s="1">
        <v>4</v>
      </c>
      <c r="D337" s="4">
        <v>1000000</v>
      </c>
    </row>
    <row r="338" spans="1:4" x14ac:dyDescent="0.35">
      <c r="A338" s="1" t="s">
        <v>721</v>
      </c>
      <c r="B338" t="s">
        <v>376</v>
      </c>
      <c r="C338" s="1">
        <v>3</v>
      </c>
      <c r="D338" s="4">
        <v>1500000</v>
      </c>
    </row>
    <row r="339" spans="1:4" x14ac:dyDescent="0.35">
      <c r="A339" s="1" t="s">
        <v>722</v>
      </c>
      <c r="B339" t="s">
        <v>377</v>
      </c>
      <c r="C339" s="1">
        <v>3</v>
      </c>
      <c r="D339" s="4">
        <v>1500000</v>
      </c>
    </row>
    <row r="340" spans="1:4" x14ac:dyDescent="0.35">
      <c r="A340" s="1" t="s">
        <v>723</v>
      </c>
      <c r="B340" t="s">
        <v>378</v>
      </c>
      <c r="C340" s="1">
        <v>4</v>
      </c>
      <c r="D340" s="4">
        <v>1000000</v>
      </c>
    </row>
    <row r="341" spans="1:4" x14ac:dyDescent="0.35">
      <c r="A341" s="1" t="s">
        <v>724</v>
      </c>
      <c r="B341" t="s">
        <v>379</v>
      </c>
      <c r="C341" s="1">
        <v>4</v>
      </c>
      <c r="D341" s="4">
        <v>1000000</v>
      </c>
    </row>
    <row r="342" spans="1:4" x14ac:dyDescent="0.35">
      <c r="A342" s="1" t="s">
        <v>725</v>
      </c>
      <c r="B342" t="s">
        <v>380</v>
      </c>
      <c r="C342" s="1">
        <v>4</v>
      </c>
      <c r="D342" s="4">
        <v>1000000</v>
      </c>
    </row>
    <row r="343" spans="1:4" x14ac:dyDescent="0.35">
      <c r="A343" s="1" t="s">
        <v>726</v>
      </c>
      <c r="B343" t="s">
        <v>381</v>
      </c>
      <c r="C343" s="1">
        <v>4</v>
      </c>
      <c r="D343" s="4">
        <v>1000000</v>
      </c>
    </row>
    <row r="344" spans="1:4" x14ac:dyDescent="0.35">
      <c r="A344" s="1" t="s">
        <v>727</v>
      </c>
      <c r="B344" t="s">
        <v>731</v>
      </c>
      <c r="C344" s="1">
        <v>2</v>
      </c>
      <c r="D344" s="4">
        <v>2000000</v>
      </c>
    </row>
    <row r="345" spans="1:4" x14ac:dyDescent="0.35">
      <c r="A345" s="1" t="s">
        <v>728</v>
      </c>
      <c r="B345" t="s">
        <v>732</v>
      </c>
      <c r="C345" s="1">
        <v>3</v>
      </c>
      <c r="D345" s="4">
        <v>1500000</v>
      </c>
    </row>
    <row r="346" spans="1:4" x14ac:dyDescent="0.35">
      <c r="A346" s="1" t="s">
        <v>729</v>
      </c>
      <c r="B346" t="s">
        <v>733</v>
      </c>
      <c r="C346" s="1">
        <v>4</v>
      </c>
      <c r="D346" s="4">
        <v>1000000</v>
      </c>
    </row>
    <row r="347" spans="1:4" x14ac:dyDescent="0.35">
      <c r="A347" s="1" t="s">
        <v>730</v>
      </c>
      <c r="B347" t="s">
        <v>734</v>
      </c>
      <c r="C347" s="1">
        <v>4</v>
      </c>
      <c r="D347" s="4">
        <v>1000000</v>
      </c>
    </row>
    <row r="349" spans="1:4" x14ac:dyDescent="0.35">
      <c r="A349" s="3" t="s">
        <v>38</v>
      </c>
    </row>
    <row r="350" spans="1:4" x14ac:dyDescent="0.35">
      <c r="A350" s="3" t="s">
        <v>740</v>
      </c>
    </row>
  </sheetData>
  <sheetProtection sheet="1" objects="1" scenarios="1"/>
  <phoneticPr fontId="4" type="noConversion"/>
  <conditionalFormatting sqref="B1:B1048576">
    <cfRule type="duplicateValues" dxfId="7" priority="1"/>
  </conditionalFormatting>
  <pageMargins left="0.7" right="0.7" top="0.75" bottom="0.75" header="0.3" footer="0.3"/>
  <pageSetup scale="72" fitToHeight="0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535B-6349-4933-AC96-E20463A74F86}">
  <dimension ref="A1:B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3" sqref="G23"/>
    </sheetView>
  </sheetViews>
  <sheetFormatPr defaultRowHeight="14.5" x14ac:dyDescent="0.35"/>
  <cols>
    <col min="1" max="1" width="10.1796875" customWidth="1"/>
    <col min="2" max="2" width="10.1796875" bestFit="1" customWidth="1"/>
  </cols>
  <sheetData>
    <row r="1" spans="1:2" x14ac:dyDescent="0.35">
      <c r="A1" s="1" t="s">
        <v>735</v>
      </c>
      <c r="B1" s="1" t="s">
        <v>384</v>
      </c>
    </row>
    <row r="2" spans="1:2" x14ac:dyDescent="0.35">
      <c r="A2" s="1">
        <v>1</v>
      </c>
      <c r="B2" s="6">
        <v>3000000</v>
      </c>
    </row>
    <row r="3" spans="1:2" x14ac:dyDescent="0.35">
      <c r="A3" s="1">
        <v>2</v>
      </c>
      <c r="B3" s="6">
        <v>2000000</v>
      </c>
    </row>
    <row r="4" spans="1:2" x14ac:dyDescent="0.35">
      <c r="A4" s="1">
        <v>3</v>
      </c>
      <c r="B4" s="6">
        <v>1500000</v>
      </c>
    </row>
    <row r="5" spans="1:2" x14ac:dyDescent="0.35">
      <c r="A5" s="1">
        <v>4</v>
      </c>
      <c r="B5" s="6">
        <v>1000000</v>
      </c>
    </row>
    <row r="6" spans="1:2" hidden="1" x14ac:dyDescent="0.35">
      <c r="A6" s="1"/>
      <c r="B6" s="6">
        <v>500000</v>
      </c>
    </row>
    <row r="7" spans="1:2" hidden="1" x14ac:dyDescent="0.35">
      <c r="A7" s="1"/>
      <c r="B7" s="6">
        <v>997100</v>
      </c>
    </row>
    <row r="8" spans="1:2" hidden="1" x14ac:dyDescent="0.35">
      <c r="A8" s="1"/>
      <c r="B8" s="6">
        <v>999000</v>
      </c>
    </row>
    <row r="9" spans="1:2" hidden="1" x14ac:dyDescent="0.35">
      <c r="A9" s="1"/>
      <c r="B9" s="6">
        <v>1497100</v>
      </c>
    </row>
    <row r="10" spans="1:2" hidden="1" x14ac:dyDescent="0.35">
      <c r="A10" s="1"/>
      <c r="B10" s="6">
        <v>1497500</v>
      </c>
    </row>
    <row r="11" spans="1:2" hidden="1" x14ac:dyDescent="0.35">
      <c r="A11" s="1"/>
      <c r="B11" s="6">
        <v>1502900</v>
      </c>
    </row>
    <row r="12" spans="1:2" hidden="1" x14ac:dyDescent="0.35">
      <c r="A12" s="1"/>
      <c r="B12" s="6">
        <v>1997100</v>
      </c>
    </row>
    <row r="14" spans="1:2" x14ac:dyDescent="0.35">
      <c r="A14" s="3" t="s">
        <v>38</v>
      </c>
    </row>
    <row r="15" spans="1:2" x14ac:dyDescent="0.35">
      <c r="A15" s="3" t="s">
        <v>741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E7AB-972D-4198-B99F-57368707CDBC}">
  <dimension ref="A1:F58"/>
  <sheetViews>
    <sheetView topLeftCell="A4" zoomScale="70" zoomScaleNormal="70" workbookViewId="0">
      <selection activeCell="J11" sqref="J11"/>
    </sheetView>
  </sheetViews>
  <sheetFormatPr defaultRowHeight="14.5" x14ac:dyDescent="0.35"/>
  <cols>
    <col min="2" max="2" width="64.54296875" customWidth="1"/>
    <col min="3" max="3" width="21.6328125" style="83" customWidth="1"/>
    <col min="4" max="4" width="20.90625" style="83" customWidth="1"/>
    <col min="5" max="5" width="19.54296875" style="83" customWidth="1"/>
    <col min="6" max="6" width="21.90625" style="83" customWidth="1"/>
  </cols>
  <sheetData>
    <row r="1" spans="1:6" ht="18.5" x14ac:dyDescent="0.45">
      <c r="A1" s="26" t="s">
        <v>756</v>
      </c>
      <c r="B1" s="26"/>
      <c r="C1" s="26"/>
      <c r="D1" s="26"/>
      <c r="E1" s="26"/>
      <c r="F1" s="26"/>
    </row>
    <row r="2" spans="1:6" ht="18.5" x14ac:dyDescent="0.45">
      <c r="A2" s="26" t="s">
        <v>757</v>
      </c>
      <c r="B2" s="26"/>
      <c r="C2" s="26"/>
      <c r="D2" s="26"/>
      <c r="E2" s="26"/>
      <c r="F2" s="26"/>
    </row>
    <row r="3" spans="1:6" ht="18.5" x14ac:dyDescent="0.45">
      <c r="A3" s="26" t="s">
        <v>758</v>
      </c>
      <c r="B3" s="26"/>
      <c r="C3" s="26"/>
      <c r="D3" s="26"/>
      <c r="E3" s="26"/>
      <c r="F3" s="26"/>
    </row>
    <row r="4" spans="1:6" ht="18.5" x14ac:dyDescent="0.45">
      <c r="A4" s="27"/>
      <c r="B4" s="27"/>
      <c r="C4" s="53"/>
      <c r="D4" s="53"/>
      <c r="E4" s="53"/>
      <c r="F4" s="53"/>
    </row>
    <row r="5" spans="1:6" ht="18.5" x14ac:dyDescent="0.45">
      <c r="A5" s="27" t="s">
        <v>759</v>
      </c>
      <c r="B5" s="50" t="s">
        <v>760</v>
      </c>
      <c r="C5" s="54" t="s">
        <v>784</v>
      </c>
      <c r="D5" s="54" t="s">
        <v>785</v>
      </c>
      <c r="E5" s="54" t="s">
        <v>786</v>
      </c>
      <c r="F5" s="54" t="s">
        <v>787</v>
      </c>
    </row>
    <row r="6" spans="1:6" ht="18.5" x14ac:dyDescent="0.45">
      <c r="A6" s="28" t="s">
        <v>761</v>
      </c>
      <c r="B6" s="29" t="s">
        <v>762</v>
      </c>
      <c r="C6" s="55"/>
      <c r="D6" s="56"/>
      <c r="E6" s="56"/>
      <c r="F6" s="56"/>
    </row>
    <row r="7" spans="1:6" ht="18.5" x14ac:dyDescent="0.45">
      <c r="A7" s="28" t="s">
        <v>763</v>
      </c>
      <c r="B7" s="30" t="s">
        <v>1</v>
      </c>
      <c r="C7" s="55"/>
      <c r="D7" s="56"/>
      <c r="E7" s="56"/>
      <c r="F7" s="56"/>
    </row>
    <row r="8" spans="1:6" ht="18.5" x14ac:dyDescent="0.45">
      <c r="A8" s="44">
        <v>1</v>
      </c>
      <c r="B8" s="31" t="s">
        <v>4</v>
      </c>
      <c r="C8" s="55">
        <v>22500000</v>
      </c>
      <c r="D8" s="57">
        <v>52494200</v>
      </c>
      <c r="E8" s="57">
        <v>69991300</v>
      </c>
      <c r="F8" s="57">
        <v>20000000</v>
      </c>
    </row>
    <row r="9" spans="1:6" ht="18.5" x14ac:dyDescent="0.45">
      <c r="A9" s="44">
        <v>2</v>
      </c>
      <c r="B9" s="31" t="s">
        <v>5</v>
      </c>
      <c r="C9" s="55">
        <v>392967400</v>
      </c>
      <c r="D9" s="57">
        <v>397970000</v>
      </c>
      <c r="E9" s="57">
        <v>395464200</v>
      </c>
      <c r="F9" s="57">
        <v>436450100</v>
      </c>
    </row>
    <row r="10" spans="1:6" ht="18.5" x14ac:dyDescent="0.45">
      <c r="A10" s="44">
        <v>3</v>
      </c>
      <c r="B10" s="31" t="s">
        <v>6</v>
      </c>
      <c r="C10" s="55">
        <v>15500000</v>
      </c>
      <c r="D10" s="57">
        <v>1000000</v>
      </c>
      <c r="E10" s="57">
        <v>8000000</v>
      </c>
      <c r="F10" s="57">
        <v>49497100</v>
      </c>
    </row>
    <row r="11" spans="1:6" ht="18.5" x14ac:dyDescent="0.45">
      <c r="A11" s="45"/>
      <c r="B11" s="31"/>
      <c r="C11" s="55"/>
      <c r="D11" s="56"/>
      <c r="E11" s="56"/>
      <c r="F11" s="56"/>
    </row>
    <row r="12" spans="1:6" ht="18.5" x14ac:dyDescent="0.45">
      <c r="A12" s="28" t="s">
        <v>764</v>
      </c>
      <c r="B12" s="30" t="s">
        <v>765</v>
      </c>
      <c r="C12" s="55"/>
      <c r="D12" s="56"/>
      <c r="E12" s="56"/>
      <c r="F12" s="56"/>
    </row>
    <row r="13" spans="1:6" ht="18.5" x14ac:dyDescent="0.45">
      <c r="A13" s="44">
        <v>1</v>
      </c>
      <c r="B13" s="31" t="s">
        <v>7</v>
      </c>
      <c r="C13" s="55">
        <v>681964703</v>
      </c>
      <c r="D13" s="58">
        <v>353621267</v>
      </c>
      <c r="E13" s="58">
        <v>616800499</v>
      </c>
      <c r="F13" s="58">
        <v>640475042</v>
      </c>
    </row>
    <row r="14" spans="1:6" ht="18.5" x14ac:dyDescent="0.45">
      <c r="A14" s="44">
        <v>2</v>
      </c>
      <c r="B14" s="31" t="s">
        <v>8</v>
      </c>
      <c r="C14" s="55">
        <v>0</v>
      </c>
      <c r="D14" s="56"/>
      <c r="E14" s="56"/>
      <c r="F14" s="59">
        <v>41946500</v>
      </c>
    </row>
    <row r="15" spans="1:6" ht="18.5" x14ac:dyDescent="0.45">
      <c r="A15" s="44">
        <v>3</v>
      </c>
      <c r="B15" s="31" t="s">
        <v>9</v>
      </c>
      <c r="C15" s="55">
        <v>0</v>
      </c>
      <c r="D15" s="58">
        <v>19749800</v>
      </c>
      <c r="E15" s="58">
        <v>4137500</v>
      </c>
      <c r="F15" s="56"/>
    </row>
    <row r="16" spans="1:6" ht="18.5" x14ac:dyDescent="0.45">
      <c r="A16" s="46"/>
      <c r="B16" s="32"/>
      <c r="C16" s="55"/>
      <c r="D16" s="57"/>
      <c r="E16" s="58"/>
      <c r="F16" s="60"/>
    </row>
    <row r="17" spans="1:6" ht="18.5" x14ac:dyDescent="0.45">
      <c r="A17" s="28" t="s">
        <v>766</v>
      </c>
      <c r="B17" s="30" t="s">
        <v>767</v>
      </c>
      <c r="C17" s="55"/>
      <c r="D17" s="56"/>
      <c r="E17" s="56"/>
      <c r="F17" s="56"/>
    </row>
    <row r="18" spans="1:6" ht="18.5" x14ac:dyDescent="0.45">
      <c r="A18" s="44">
        <v>1</v>
      </c>
      <c r="B18" s="31" t="s">
        <v>10</v>
      </c>
      <c r="C18" s="55">
        <v>27447783</v>
      </c>
      <c r="D18" s="58">
        <v>24385456</v>
      </c>
      <c r="E18" s="58">
        <v>6990996</v>
      </c>
      <c r="F18" s="58">
        <v>19820473</v>
      </c>
    </row>
    <row r="19" spans="1:6" ht="18.5" x14ac:dyDescent="0.45">
      <c r="A19" s="44">
        <v>2</v>
      </c>
      <c r="B19" s="31" t="s">
        <v>11</v>
      </c>
      <c r="C19" s="61">
        <v>0</v>
      </c>
      <c r="D19" s="58">
        <v>28924420.98</v>
      </c>
      <c r="E19" s="58">
        <v>85884836.650000006</v>
      </c>
      <c r="F19" s="56">
        <v>0</v>
      </c>
    </row>
    <row r="20" spans="1:6" ht="18.5" x14ac:dyDescent="0.45">
      <c r="A20" s="44">
        <v>3</v>
      </c>
      <c r="B20" s="33" t="s">
        <v>12</v>
      </c>
      <c r="C20" s="55">
        <v>16342755</v>
      </c>
      <c r="D20" s="58">
        <v>16342755</v>
      </c>
      <c r="E20" s="58">
        <v>19300000</v>
      </c>
      <c r="F20" s="58">
        <v>6000000</v>
      </c>
    </row>
    <row r="21" spans="1:6" ht="18.5" x14ac:dyDescent="0.45">
      <c r="A21" s="44">
        <v>4</v>
      </c>
      <c r="B21" s="31" t="s">
        <v>13</v>
      </c>
      <c r="C21" s="62">
        <v>24349922.920000076</v>
      </c>
      <c r="D21" s="62">
        <v>789500.15000009502</v>
      </c>
      <c r="E21" s="62">
        <v>1000000.03999949</v>
      </c>
      <c r="F21" s="62">
        <v>22842500.1200004</v>
      </c>
    </row>
    <row r="22" spans="1:6" ht="18.5" x14ac:dyDescent="0.45">
      <c r="A22" s="44"/>
      <c r="B22" s="32"/>
      <c r="C22" s="55"/>
      <c r="D22" s="56"/>
      <c r="E22" s="63"/>
      <c r="F22" s="63"/>
    </row>
    <row r="23" spans="1:6" ht="18.5" x14ac:dyDescent="0.45">
      <c r="A23" s="44"/>
      <c r="B23" s="30" t="s">
        <v>768</v>
      </c>
      <c r="C23" s="55">
        <v>1181072563.9200001</v>
      </c>
      <c r="D23" s="55">
        <v>895277399.13000011</v>
      </c>
      <c r="E23" s="55">
        <v>1207569331.6899996</v>
      </c>
      <c r="F23" s="55">
        <v>1237031715.1200004</v>
      </c>
    </row>
    <row r="24" spans="1:6" ht="18.5" x14ac:dyDescent="0.45">
      <c r="A24" s="47"/>
      <c r="B24" s="34"/>
      <c r="C24" s="64"/>
      <c r="D24" s="65"/>
      <c r="E24" s="65"/>
      <c r="F24" s="56"/>
    </row>
    <row r="25" spans="1:6" ht="18.5" x14ac:dyDescent="0.45">
      <c r="A25" s="28" t="s">
        <v>769</v>
      </c>
      <c r="B25" s="30" t="s">
        <v>770</v>
      </c>
      <c r="C25" s="55"/>
      <c r="D25" s="56"/>
      <c r="E25" s="56"/>
      <c r="F25" s="56"/>
    </row>
    <row r="26" spans="1:6" ht="18.5" x14ac:dyDescent="0.45">
      <c r="A26" s="28" t="s">
        <v>771</v>
      </c>
      <c r="B26" s="30" t="s">
        <v>16</v>
      </c>
      <c r="C26" s="55"/>
      <c r="D26" s="56"/>
      <c r="E26" s="56"/>
      <c r="F26" s="56"/>
    </row>
    <row r="27" spans="1:6" ht="18.5" x14ac:dyDescent="0.45">
      <c r="A27" s="44">
        <v>1</v>
      </c>
      <c r="B27" s="31" t="s">
        <v>21</v>
      </c>
      <c r="C27" s="66">
        <v>31837434</v>
      </c>
      <c r="D27" s="58">
        <v>38936300</v>
      </c>
      <c r="E27" s="58">
        <v>58169747</v>
      </c>
      <c r="F27" s="58">
        <v>12024830</v>
      </c>
    </row>
    <row r="28" spans="1:6" ht="18.5" x14ac:dyDescent="0.45">
      <c r="A28" s="44">
        <v>2</v>
      </c>
      <c r="B28" s="31" t="s">
        <v>22</v>
      </c>
      <c r="C28" s="66">
        <v>57825000</v>
      </c>
      <c r="D28" s="58">
        <v>57213000</v>
      </c>
      <c r="E28" s="58">
        <v>71170173</v>
      </c>
      <c r="F28" s="58">
        <v>63403524</v>
      </c>
    </row>
    <row r="29" spans="1:6" ht="18.5" x14ac:dyDescent="0.45">
      <c r="A29" s="44">
        <v>3</v>
      </c>
      <c r="B29" s="31" t="s">
        <v>23</v>
      </c>
      <c r="C29" s="66">
        <v>8858348</v>
      </c>
      <c r="D29" s="58">
        <v>11312044</v>
      </c>
      <c r="E29" s="58">
        <v>12486887</v>
      </c>
      <c r="F29" s="58">
        <v>16770279</v>
      </c>
    </row>
    <row r="30" spans="1:6" ht="18.5" x14ac:dyDescent="0.45">
      <c r="A30" s="48">
        <v>4</v>
      </c>
      <c r="B30" s="34" t="s">
        <v>24</v>
      </c>
      <c r="C30" s="67">
        <v>0</v>
      </c>
      <c r="D30" s="56">
        <v>0</v>
      </c>
      <c r="E30" s="58">
        <v>175000000</v>
      </c>
      <c r="F30" s="56">
        <v>0</v>
      </c>
    </row>
    <row r="31" spans="1:6" ht="18.5" x14ac:dyDescent="0.45">
      <c r="A31" s="48">
        <v>5</v>
      </c>
      <c r="B31" s="34" t="s">
        <v>25</v>
      </c>
      <c r="C31" s="68">
        <v>95875000</v>
      </c>
      <c r="D31" s="58">
        <v>83741775</v>
      </c>
      <c r="E31" s="58">
        <v>91117500</v>
      </c>
      <c r="F31" s="58">
        <v>95863875</v>
      </c>
    </row>
    <row r="32" spans="1:6" ht="18.5" x14ac:dyDescent="0.45">
      <c r="A32" s="48"/>
      <c r="B32" s="34"/>
      <c r="C32" s="68"/>
      <c r="D32" s="56"/>
      <c r="E32" s="56"/>
      <c r="F32" s="56"/>
    </row>
    <row r="33" spans="1:6" ht="18.5" x14ac:dyDescent="0.45">
      <c r="A33" s="28" t="s">
        <v>771</v>
      </c>
      <c r="B33" s="30" t="s">
        <v>17</v>
      </c>
      <c r="C33" s="68"/>
      <c r="D33" s="56"/>
      <c r="E33" s="56"/>
      <c r="F33" s="56"/>
    </row>
    <row r="34" spans="1:6" ht="18.5" x14ac:dyDescent="0.45">
      <c r="A34" s="48">
        <v>1</v>
      </c>
      <c r="B34" s="34" t="s">
        <v>26</v>
      </c>
      <c r="C34" s="64">
        <v>30337577</v>
      </c>
      <c r="D34" s="58">
        <v>53668000</v>
      </c>
      <c r="E34" s="58">
        <v>59386000</v>
      </c>
      <c r="F34" s="58">
        <v>43302500</v>
      </c>
    </row>
    <row r="35" spans="1:6" ht="18.5" x14ac:dyDescent="0.45">
      <c r="A35" s="48">
        <v>2</v>
      </c>
      <c r="B35" s="34" t="s">
        <v>27</v>
      </c>
      <c r="C35" s="64">
        <v>34535500</v>
      </c>
      <c r="D35" s="58">
        <v>148973500</v>
      </c>
      <c r="E35" s="58">
        <v>180435500</v>
      </c>
      <c r="F35" s="58">
        <v>273500000</v>
      </c>
    </row>
    <row r="36" spans="1:6" ht="37" x14ac:dyDescent="0.45">
      <c r="A36" s="48">
        <v>3</v>
      </c>
      <c r="B36" s="34" t="s">
        <v>28</v>
      </c>
      <c r="C36" s="64">
        <v>112624231</v>
      </c>
      <c r="D36" s="69">
        <v>43844500</v>
      </c>
      <c r="E36" s="69">
        <v>65426500</v>
      </c>
      <c r="F36" s="69">
        <v>23950000</v>
      </c>
    </row>
    <row r="37" spans="1:6" ht="18.5" x14ac:dyDescent="0.45">
      <c r="A37" s="48">
        <v>4</v>
      </c>
      <c r="B37" s="34" t="s">
        <v>29</v>
      </c>
      <c r="C37" s="64">
        <v>2519500</v>
      </c>
      <c r="D37" s="56">
        <v>0</v>
      </c>
      <c r="E37" s="58">
        <v>6029000</v>
      </c>
      <c r="F37" s="58">
        <v>5600000</v>
      </c>
    </row>
    <row r="38" spans="1:6" ht="18.5" x14ac:dyDescent="0.45">
      <c r="A38" s="48"/>
      <c r="B38" s="34"/>
      <c r="C38" s="64"/>
      <c r="D38" s="56"/>
      <c r="E38" s="56"/>
      <c r="F38" s="56"/>
    </row>
    <row r="39" spans="1:6" ht="18.5" x14ac:dyDescent="0.45">
      <c r="A39" s="28" t="s">
        <v>15</v>
      </c>
      <c r="B39" s="30" t="s">
        <v>18</v>
      </c>
      <c r="C39" s="64"/>
      <c r="D39" s="56"/>
      <c r="E39" s="56"/>
      <c r="F39" s="56"/>
    </row>
    <row r="40" spans="1:6" ht="18.5" x14ac:dyDescent="0.45">
      <c r="A40" s="44">
        <v>1</v>
      </c>
      <c r="B40" s="31" t="s">
        <v>30</v>
      </c>
      <c r="C40" s="64">
        <v>4619440</v>
      </c>
      <c r="D40" s="58">
        <v>83682860</v>
      </c>
      <c r="E40" s="58">
        <v>174872545</v>
      </c>
      <c r="F40" s="58">
        <v>78646763</v>
      </c>
    </row>
    <row r="41" spans="1:6" ht="18.5" x14ac:dyDescent="0.45">
      <c r="A41" s="44">
        <v>2</v>
      </c>
      <c r="B41" s="31" t="s">
        <v>31</v>
      </c>
      <c r="C41" s="64">
        <v>31067500</v>
      </c>
      <c r="D41" s="58">
        <v>83403000</v>
      </c>
      <c r="E41" s="58">
        <v>193102490</v>
      </c>
      <c r="F41" s="58">
        <v>152313603</v>
      </c>
    </row>
    <row r="42" spans="1:6" ht="18.5" x14ac:dyDescent="0.45">
      <c r="A42" s="44">
        <v>3</v>
      </c>
      <c r="B42" s="31" t="s">
        <v>32</v>
      </c>
      <c r="C42" s="70">
        <v>169608200</v>
      </c>
      <c r="D42" s="56">
        <v>0</v>
      </c>
      <c r="E42" s="56"/>
      <c r="F42" s="56"/>
    </row>
    <row r="43" spans="1:6" ht="18.5" x14ac:dyDescent="0.45">
      <c r="A43" s="44">
        <v>4</v>
      </c>
      <c r="B43" s="31" t="s">
        <v>33</v>
      </c>
      <c r="C43" s="70"/>
      <c r="D43" s="56"/>
      <c r="E43" s="56"/>
      <c r="F43" s="58">
        <v>46875000</v>
      </c>
    </row>
    <row r="44" spans="1:6" ht="18.5" x14ac:dyDescent="0.45">
      <c r="A44" s="28"/>
      <c r="B44" s="30"/>
      <c r="C44" s="64"/>
      <c r="D44" s="56"/>
      <c r="E44" s="56"/>
      <c r="F44" s="71"/>
    </row>
    <row r="45" spans="1:6" ht="18.5" x14ac:dyDescent="0.45">
      <c r="A45" s="28" t="s">
        <v>772</v>
      </c>
      <c r="B45" s="30" t="s">
        <v>19</v>
      </c>
      <c r="C45" s="64"/>
      <c r="D45" s="56"/>
      <c r="E45" s="56"/>
      <c r="F45" s="72"/>
    </row>
    <row r="46" spans="1:6" ht="18.5" x14ac:dyDescent="0.45">
      <c r="A46" s="28">
        <v>1</v>
      </c>
      <c r="B46" s="31" t="s">
        <v>34</v>
      </c>
      <c r="C46" s="73">
        <v>0</v>
      </c>
      <c r="D46" s="58">
        <v>26606000</v>
      </c>
      <c r="E46" s="59">
        <v>18396500</v>
      </c>
      <c r="F46" s="58">
        <v>33629100</v>
      </c>
    </row>
    <row r="47" spans="1:6" ht="18.5" x14ac:dyDescent="0.45">
      <c r="A47" s="28"/>
      <c r="B47" s="36"/>
      <c r="C47" s="74"/>
      <c r="D47" s="56"/>
      <c r="E47" s="63"/>
      <c r="F47" s="75"/>
    </row>
    <row r="48" spans="1:6" ht="18.5" x14ac:dyDescent="0.45">
      <c r="A48" s="28" t="s">
        <v>773</v>
      </c>
      <c r="B48" s="30" t="s">
        <v>20</v>
      </c>
      <c r="C48" s="64"/>
      <c r="D48" s="56"/>
      <c r="E48" s="56"/>
      <c r="F48" s="76"/>
    </row>
    <row r="49" spans="1:6" ht="18.5" x14ac:dyDescent="0.45">
      <c r="A49" s="48">
        <v>1</v>
      </c>
      <c r="B49" s="34" t="s">
        <v>35</v>
      </c>
      <c r="C49" s="64">
        <v>2456500</v>
      </c>
      <c r="D49" s="58">
        <v>7302500</v>
      </c>
      <c r="E49" s="58">
        <v>3052500</v>
      </c>
      <c r="F49" s="58">
        <v>1300000</v>
      </c>
    </row>
    <row r="50" spans="1:6" ht="18.5" x14ac:dyDescent="0.45">
      <c r="A50" s="48">
        <v>2</v>
      </c>
      <c r="B50" s="34" t="s">
        <v>36</v>
      </c>
      <c r="C50" s="64">
        <v>5708041</v>
      </c>
      <c r="D50" s="58">
        <v>11012976</v>
      </c>
      <c r="E50" s="58">
        <v>19091164</v>
      </c>
      <c r="F50" s="58">
        <v>5670094</v>
      </c>
    </row>
    <row r="51" spans="1:6" ht="18.5" x14ac:dyDescent="0.45">
      <c r="A51" s="48"/>
      <c r="B51" s="37"/>
      <c r="C51" s="77"/>
      <c r="D51" s="58"/>
      <c r="E51" s="58"/>
      <c r="F51" s="56"/>
    </row>
    <row r="52" spans="1:6" ht="18.5" x14ac:dyDescent="0.45">
      <c r="A52" s="48"/>
      <c r="B52" s="38" t="s">
        <v>774</v>
      </c>
      <c r="C52" s="77">
        <v>587872271</v>
      </c>
      <c r="D52" s="77">
        <v>649696455</v>
      </c>
      <c r="E52" s="77">
        <v>1127736506</v>
      </c>
      <c r="F52" s="77">
        <v>852849568</v>
      </c>
    </row>
    <row r="53" spans="1:6" ht="18.5" x14ac:dyDescent="0.45">
      <c r="A53" s="49" t="s">
        <v>775</v>
      </c>
      <c r="B53" s="40" t="s">
        <v>776</v>
      </c>
      <c r="C53" s="64">
        <v>593200292.92000008</v>
      </c>
      <c r="D53" s="64">
        <v>245580944.13000011</v>
      </c>
      <c r="E53" s="64">
        <v>79832825.68999958</v>
      </c>
      <c r="F53" s="64">
        <v>384182147.12000036</v>
      </c>
    </row>
    <row r="54" spans="1:6" ht="18.5" x14ac:dyDescent="0.45">
      <c r="A54" s="28" t="s">
        <v>777</v>
      </c>
      <c r="B54" s="29" t="s">
        <v>778</v>
      </c>
      <c r="C54" s="78">
        <v>2021</v>
      </c>
      <c r="D54" s="79">
        <v>2022</v>
      </c>
      <c r="E54" s="79">
        <v>2000002023</v>
      </c>
      <c r="F54" s="79">
        <v>2024</v>
      </c>
    </row>
    <row r="55" spans="1:6" ht="18.5" x14ac:dyDescent="0.45">
      <c r="A55" s="51" t="s">
        <v>779</v>
      </c>
      <c r="B55" s="52" t="s">
        <v>780</v>
      </c>
      <c r="C55" s="80">
        <v>593202313.92000008</v>
      </c>
      <c r="D55" s="81">
        <v>245582966.13000011</v>
      </c>
      <c r="E55" s="81">
        <v>2079834848.6899996</v>
      </c>
      <c r="F55" s="81">
        <v>384184171.12000036</v>
      </c>
    </row>
    <row r="56" spans="1:6" ht="18.5" x14ac:dyDescent="0.45">
      <c r="A56" s="39"/>
      <c r="B56" s="41" t="s">
        <v>781</v>
      </c>
      <c r="C56" s="64">
        <v>0</v>
      </c>
      <c r="D56" s="58">
        <v>2000000000</v>
      </c>
      <c r="E56" s="58">
        <v>0</v>
      </c>
      <c r="F56" s="58">
        <v>0</v>
      </c>
    </row>
    <row r="57" spans="1:6" ht="18.5" x14ac:dyDescent="0.45">
      <c r="A57" s="35"/>
      <c r="B57" s="41" t="s">
        <v>782</v>
      </c>
      <c r="C57" s="64">
        <v>2022</v>
      </c>
      <c r="D57" s="58">
        <v>2023</v>
      </c>
      <c r="E57" s="58">
        <v>2024</v>
      </c>
      <c r="F57" s="58">
        <v>2025</v>
      </c>
    </row>
    <row r="58" spans="1:6" ht="18.5" x14ac:dyDescent="0.45">
      <c r="A58" s="42"/>
      <c r="B58" s="43" t="s">
        <v>783</v>
      </c>
      <c r="C58" s="82">
        <v>2022</v>
      </c>
      <c r="D58" s="82">
        <v>2000002023</v>
      </c>
      <c r="E58" s="82">
        <v>2024</v>
      </c>
      <c r="F58" s="82">
        <v>2025</v>
      </c>
    </row>
  </sheetData>
  <mergeCells count="3">
    <mergeCell ref="A1:F1"/>
    <mergeCell ref="A2:F2"/>
    <mergeCell ref="A3:F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ALUR</vt:lpstr>
      <vt:lpstr>MENU</vt:lpstr>
      <vt:lpstr>Sheet7</vt:lpstr>
      <vt:lpstr>COA</vt:lpstr>
      <vt:lpstr>ANGGOTA</vt:lpstr>
      <vt:lpstr>KLS RS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liestian legowo</dc:creator>
  <cp:lastModifiedBy>liestian legowo</cp:lastModifiedBy>
  <cp:lastPrinted>2026-01-01T06:46:27Z</cp:lastPrinted>
  <dcterms:created xsi:type="dcterms:W3CDTF">2026-01-01T02:20:51Z</dcterms:created>
  <dcterms:modified xsi:type="dcterms:W3CDTF">2026-01-01T10:35:03Z</dcterms:modified>
</cp:coreProperties>
</file>